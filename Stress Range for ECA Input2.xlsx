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igicorner.sharepoint.com/sites/USARigidPipelineEngineeringTeam/Shared Documents/Shell Gato do Mato (execution)/03 Eng/Working_Folder/GDuan/WQ/07_PR2_NewECA/"/>
    </mc:Choice>
  </mc:AlternateContent>
  <xr:revisionPtr revIDLastSave="2010" documentId="13_ncr:1_{22BF0471-821C-4D33-977E-68E0B9A5A1AE}" xr6:coauthVersionLast="47" xr6:coauthVersionMax="47" xr10:uidLastSave="{1DA5E934-7EAB-45E7-A7C3-099F26F2EB60}"/>
  <bookViews>
    <workbookView xWindow="-110" yWindow="-110" windowWidth="25820" windowHeight="15500" tabRatio="691" activeTab="8" xr2:uid="{00000000-000D-0000-FFFF-FFFF00000000}"/>
  </bookViews>
  <sheets>
    <sheet name="BE-HE_P1toP2" sheetId="1" r:id="rId1"/>
    <sheet name="BE-HE_P2toP1" sheetId="7" r:id="rId2"/>
    <sheet name="BE-BE_P1toP2" sheetId="3" r:id="rId3"/>
    <sheet name="BE-BE_P2toP1" sheetId="8" r:id="rId4"/>
    <sheet name="HE-BEWalking" sheetId="6" r:id="rId5"/>
    <sheet name="HEBE_P1toP2" sheetId="9" r:id="rId6"/>
    <sheet name="HEBE_P2toP1" sheetId="10" r:id="rId7"/>
    <sheet name="LEBE_P1toP2" sheetId="11" r:id="rId8"/>
    <sheet name="LEBE_P2toP1" sheetId="12" r:id="rId9"/>
    <sheet name="Summary" sheetId="5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76" i="12" l="1"/>
  <c r="AA76" i="12"/>
  <c r="S76" i="12"/>
  <c r="AI75" i="12"/>
  <c r="AA75" i="12"/>
  <c r="S75" i="12"/>
  <c r="AI74" i="12"/>
  <c r="AA74" i="12"/>
  <c r="S74" i="12"/>
  <c r="AI73" i="12"/>
  <c r="AA73" i="12"/>
  <c r="S73" i="12"/>
  <c r="AI72" i="12"/>
  <c r="AA72" i="12"/>
  <c r="S72" i="12"/>
  <c r="AI71" i="12"/>
  <c r="AA71" i="12"/>
  <c r="S71" i="12"/>
  <c r="AI70" i="12"/>
  <c r="AA70" i="12"/>
  <c r="S70" i="12"/>
  <c r="AI69" i="12"/>
  <c r="AA69" i="12"/>
  <c r="S69" i="12"/>
  <c r="AI68" i="12"/>
  <c r="AA68" i="12"/>
  <c r="S68" i="12"/>
  <c r="AI67" i="12"/>
  <c r="AA67" i="12"/>
  <c r="S67" i="12"/>
  <c r="AI66" i="12"/>
  <c r="AA66" i="12"/>
  <c r="S66" i="12"/>
  <c r="AI65" i="12"/>
  <c r="AA65" i="12"/>
  <c r="S65" i="12"/>
  <c r="AI64" i="12"/>
  <c r="AA64" i="12"/>
  <c r="S64" i="12"/>
  <c r="AI63" i="12"/>
  <c r="AA63" i="12"/>
  <c r="S63" i="12"/>
  <c r="AI62" i="12"/>
  <c r="AA62" i="12"/>
  <c r="S62" i="12"/>
  <c r="AI61" i="12"/>
  <c r="AA61" i="12"/>
  <c r="S61" i="12"/>
  <c r="AI60" i="12"/>
  <c r="AA60" i="12"/>
  <c r="S60" i="12"/>
  <c r="AI59" i="12"/>
  <c r="AA59" i="12"/>
  <c r="S59" i="12"/>
  <c r="AI58" i="12"/>
  <c r="AA58" i="12"/>
  <c r="S58" i="12"/>
  <c r="AI57" i="12"/>
  <c r="AA57" i="12"/>
  <c r="S57" i="12"/>
  <c r="AI37" i="12"/>
  <c r="AA37" i="12"/>
  <c r="S37" i="12"/>
  <c r="AI36" i="12"/>
  <c r="AA36" i="12"/>
  <c r="S36" i="12"/>
  <c r="AI35" i="12"/>
  <c r="AA35" i="12"/>
  <c r="S35" i="12"/>
  <c r="AI34" i="12"/>
  <c r="AA34" i="12"/>
  <c r="S34" i="12"/>
  <c r="AI33" i="12"/>
  <c r="AA33" i="12"/>
  <c r="S33" i="12"/>
  <c r="AI32" i="12"/>
  <c r="AA32" i="12"/>
  <c r="S32" i="12"/>
  <c r="AI31" i="12"/>
  <c r="AA31" i="12"/>
  <c r="S31" i="12"/>
  <c r="AI30" i="12"/>
  <c r="AA30" i="12"/>
  <c r="S30" i="12"/>
  <c r="AI29" i="12"/>
  <c r="AA29" i="12"/>
  <c r="S29" i="12"/>
  <c r="AI28" i="12"/>
  <c r="AA28" i="12"/>
  <c r="S28" i="12"/>
  <c r="AI27" i="12"/>
  <c r="AA27" i="12"/>
  <c r="S27" i="12"/>
  <c r="AI26" i="12"/>
  <c r="AA26" i="12"/>
  <c r="S26" i="12"/>
  <c r="AI25" i="12"/>
  <c r="AA25" i="12"/>
  <c r="S25" i="12"/>
  <c r="AI24" i="12"/>
  <c r="AA24" i="12"/>
  <c r="S24" i="12"/>
  <c r="AI23" i="12"/>
  <c r="AA23" i="12"/>
  <c r="S23" i="12"/>
  <c r="AI22" i="12"/>
  <c r="AA22" i="12"/>
  <c r="S22" i="12"/>
  <c r="AI21" i="12"/>
  <c r="AA21" i="12"/>
  <c r="S21" i="12"/>
  <c r="AI20" i="12"/>
  <c r="AA20" i="12"/>
  <c r="S20" i="12"/>
  <c r="AI19" i="12"/>
  <c r="AA19" i="12"/>
  <c r="S19" i="12"/>
  <c r="AI18" i="12"/>
  <c r="AA18" i="12"/>
  <c r="S18" i="12"/>
  <c r="AI76" i="11"/>
  <c r="AA76" i="11"/>
  <c r="S76" i="11"/>
  <c r="AI75" i="11"/>
  <c r="AA75" i="11"/>
  <c r="S75" i="11"/>
  <c r="AI74" i="11"/>
  <c r="AA74" i="11"/>
  <c r="S74" i="11"/>
  <c r="AI73" i="11"/>
  <c r="AA73" i="11"/>
  <c r="S73" i="11"/>
  <c r="AI72" i="11"/>
  <c r="AA72" i="11"/>
  <c r="S72" i="11"/>
  <c r="AI71" i="11"/>
  <c r="AA71" i="11"/>
  <c r="S71" i="11"/>
  <c r="AI70" i="11"/>
  <c r="AA70" i="11"/>
  <c r="S70" i="11"/>
  <c r="AI69" i="11"/>
  <c r="AA69" i="11"/>
  <c r="S69" i="11"/>
  <c r="AI68" i="11"/>
  <c r="AA68" i="11"/>
  <c r="S68" i="11"/>
  <c r="AI67" i="11"/>
  <c r="AA67" i="11"/>
  <c r="S67" i="11"/>
  <c r="AI66" i="11"/>
  <c r="AA66" i="11"/>
  <c r="S66" i="11"/>
  <c r="AI65" i="11"/>
  <c r="AA65" i="11"/>
  <c r="S65" i="11"/>
  <c r="AI64" i="11"/>
  <c r="AA64" i="11"/>
  <c r="S64" i="11"/>
  <c r="AI63" i="11"/>
  <c r="AA63" i="11"/>
  <c r="S63" i="11"/>
  <c r="AI62" i="11"/>
  <c r="AA62" i="11"/>
  <c r="S62" i="11"/>
  <c r="AI61" i="11"/>
  <c r="AA61" i="11"/>
  <c r="S61" i="11"/>
  <c r="AI60" i="11"/>
  <c r="AA60" i="11"/>
  <c r="S60" i="11"/>
  <c r="AI59" i="11"/>
  <c r="AA59" i="11"/>
  <c r="S59" i="11"/>
  <c r="AI58" i="11"/>
  <c r="AA58" i="11"/>
  <c r="S58" i="11"/>
  <c r="AI57" i="11"/>
  <c r="AA57" i="11"/>
  <c r="S57" i="11"/>
  <c r="AI37" i="11"/>
  <c r="AA37" i="11"/>
  <c r="S37" i="11"/>
  <c r="AI36" i="11"/>
  <c r="AA36" i="11"/>
  <c r="S36" i="11"/>
  <c r="AI35" i="11"/>
  <c r="AA35" i="11"/>
  <c r="S35" i="11"/>
  <c r="AI34" i="11"/>
  <c r="AA34" i="11"/>
  <c r="S34" i="11"/>
  <c r="AI33" i="11"/>
  <c r="AA33" i="11"/>
  <c r="S33" i="11"/>
  <c r="AI32" i="11"/>
  <c r="AA32" i="11"/>
  <c r="S32" i="11"/>
  <c r="AI31" i="11"/>
  <c r="AA31" i="11"/>
  <c r="S31" i="11"/>
  <c r="AI30" i="11"/>
  <c r="AA30" i="11"/>
  <c r="S30" i="11"/>
  <c r="AI29" i="11"/>
  <c r="AA29" i="11"/>
  <c r="S29" i="11"/>
  <c r="AI28" i="11"/>
  <c r="AA28" i="11"/>
  <c r="S28" i="11"/>
  <c r="AI27" i="11"/>
  <c r="AA27" i="11"/>
  <c r="S27" i="11"/>
  <c r="AI26" i="11"/>
  <c r="AA26" i="11"/>
  <c r="S26" i="11"/>
  <c r="AI25" i="11"/>
  <c r="AA25" i="11"/>
  <c r="S25" i="11"/>
  <c r="AI24" i="11"/>
  <c r="AA24" i="11"/>
  <c r="S24" i="11"/>
  <c r="AI23" i="11"/>
  <c r="AA23" i="11"/>
  <c r="S23" i="11"/>
  <c r="AI22" i="11"/>
  <c r="AA22" i="11"/>
  <c r="S22" i="11"/>
  <c r="AI21" i="11"/>
  <c r="AA21" i="11"/>
  <c r="S21" i="11"/>
  <c r="AI20" i="11"/>
  <c r="AA20" i="11"/>
  <c r="S20" i="11"/>
  <c r="AI19" i="11"/>
  <c r="AA19" i="11"/>
  <c r="S19" i="11"/>
  <c r="AI18" i="11"/>
  <c r="AA18" i="11"/>
  <c r="S18" i="11"/>
  <c r="AI76" i="10"/>
  <c r="AA76" i="10"/>
  <c r="S76" i="10"/>
  <c r="AI75" i="10"/>
  <c r="AA75" i="10"/>
  <c r="S75" i="10"/>
  <c r="AI74" i="10"/>
  <c r="AA74" i="10"/>
  <c r="S74" i="10"/>
  <c r="AI73" i="10"/>
  <c r="AA73" i="10"/>
  <c r="S73" i="10"/>
  <c r="AI72" i="10"/>
  <c r="AA72" i="10"/>
  <c r="S72" i="10"/>
  <c r="AI71" i="10"/>
  <c r="AA71" i="10"/>
  <c r="S71" i="10"/>
  <c r="AI70" i="10"/>
  <c r="AA70" i="10"/>
  <c r="S70" i="10"/>
  <c r="AI69" i="10"/>
  <c r="AA69" i="10"/>
  <c r="S69" i="10"/>
  <c r="AI68" i="10"/>
  <c r="AA68" i="10"/>
  <c r="S68" i="10"/>
  <c r="AI67" i="10"/>
  <c r="AA67" i="10"/>
  <c r="S67" i="10"/>
  <c r="AI66" i="10"/>
  <c r="AA66" i="10"/>
  <c r="S66" i="10"/>
  <c r="AI65" i="10"/>
  <c r="AA65" i="10"/>
  <c r="S65" i="10"/>
  <c r="AI64" i="10"/>
  <c r="AA64" i="10"/>
  <c r="S64" i="10"/>
  <c r="AI63" i="10"/>
  <c r="AA63" i="10"/>
  <c r="S63" i="10"/>
  <c r="AI62" i="10"/>
  <c r="AA62" i="10"/>
  <c r="S62" i="10"/>
  <c r="AI61" i="10"/>
  <c r="AA61" i="10"/>
  <c r="S61" i="10"/>
  <c r="AI60" i="10"/>
  <c r="AA60" i="10"/>
  <c r="S60" i="10"/>
  <c r="AI59" i="10"/>
  <c r="AA59" i="10"/>
  <c r="S59" i="10"/>
  <c r="AI58" i="10"/>
  <c r="AA58" i="10"/>
  <c r="S58" i="10"/>
  <c r="AI57" i="10"/>
  <c r="AA57" i="10"/>
  <c r="S57" i="10"/>
  <c r="AI37" i="10"/>
  <c r="AA37" i="10"/>
  <c r="S37" i="10"/>
  <c r="AI36" i="10"/>
  <c r="AA36" i="10"/>
  <c r="S36" i="10"/>
  <c r="AI35" i="10"/>
  <c r="AA35" i="10"/>
  <c r="S35" i="10"/>
  <c r="AI34" i="10"/>
  <c r="AA34" i="10"/>
  <c r="S34" i="10"/>
  <c r="AI33" i="10"/>
  <c r="AA33" i="10"/>
  <c r="S33" i="10"/>
  <c r="AI32" i="10"/>
  <c r="AA32" i="10"/>
  <c r="S32" i="10"/>
  <c r="AI31" i="10"/>
  <c r="AA31" i="10"/>
  <c r="S31" i="10"/>
  <c r="AI30" i="10"/>
  <c r="AA30" i="10"/>
  <c r="S30" i="10"/>
  <c r="AI29" i="10"/>
  <c r="AA29" i="10"/>
  <c r="S29" i="10"/>
  <c r="AI28" i="10"/>
  <c r="AA28" i="10"/>
  <c r="S28" i="10"/>
  <c r="AI27" i="10"/>
  <c r="AA27" i="10"/>
  <c r="S27" i="10"/>
  <c r="AI26" i="10"/>
  <c r="AA26" i="10"/>
  <c r="S26" i="10"/>
  <c r="AI25" i="10"/>
  <c r="AA25" i="10"/>
  <c r="S25" i="10"/>
  <c r="AI24" i="10"/>
  <c r="AA24" i="10"/>
  <c r="S24" i="10"/>
  <c r="AI23" i="10"/>
  <c r="AA23" i="10"/>
  <c r="S23" i="10"/>
  <c r="AI22" i="10"/>
  <c r="AA22" i="10"/>
  <c r="S22" i="10"/>
  <c r="AI21" i="10"/>
  <c r="AA21" i="10"/>
  <c r="S21" i="10"/>
  <c r="AI20" i="10"/>
  <c r="AA20" i="10"/>
  <c r="S20" i="10"/>
  <c r="AI19" i="10"/>
  <c r="AA19" i="10"/>
  <c r="S19" i="10"/>
  <c r="AI18" i="10"/>
  <c r="AA18" i="10"/>
  <c r="S18" i="10"/>
  <c r="AI76" i="9" l="1"/>
  <c r="AA76" i="9"/>
  <c r="S76" i="9"/>
  <c r="AI75" i="9"/>
  <c r="AA75" i="9"/>
  <c r="S75" i="9"/>
  <c r="AI74" i="9"/>
  <c r="AA74" i="9"/>
  <c r="S74" i="9"/>
  <c r="AI73" i="9"/>
  <c r="AA73" i="9"/>
  <c r="S73" i="9"/>
  <c r="AI72" i="9"/>
  <c r="AA72" i="9"/>
  <c r="S72" i="9"/>
  <c r="AI71" i="9"/>
  <c r="AA71" i="9"/>
  <c r="S71" i="9"/>
  <c r="AI70" i="9"/>
  <c r="AA70" i="9"/>
  <c r="S70" i="9"/>
  <c r="AI69" i="9"/>
  <c r="AA69" i="9"/>
  <c r="S69" i="9"/>
  <c r="AI68" i="9"/>
  <c r="AA68" i="9"/>
  <c r="S68" i="9"/>
  <c r="AI67" i="9"/>
  <c r="AA67" i="9"/>
  <c r="S67" i="9"/>
  <c r="AI66" i="9"/>
  <c r="AA66" i="9"/>
  <c r="S66" i="9"/>
  <c r="AI65" i="9"/>
  <c r="AA65" i="9"/>
  <c r="S65" i="9"/>
  <c r="AI64" i="9"/>
  <c r="AA64" i="9"/>
  <c r="S64" i="9"/>
  <c r="AI63" i="9"/>
  <c r="AA63" i="9"/>
  <c r="S63" i="9"/>
  <c r="AI62" i="9"/>
  <c r="AA62" i="9"/>
  <c r="S62" i="9"/>
  <c r="AI61" i="9"/>
  <c r="AA61" i="9"/>
  <c r="S61" i="9"/>
  <c r="AI60" i="9"/>
  <c r="AA60" i="9"/>
  <c r="S60" i="9"/>
  <c r="AI59" i="9"/>
  <c r="AA59" i="9"/>
  <c r="S59" i="9"/>
  <c r="AI58" i="9"/>
  <c r="AA58" i="9"/>
  <c r="S58" i="9"/>
  <c r="AI57" i="9"/>
  <c r="AA57" i="9"/>
  <c r="S57" i="9"/>
  <c r="AI37" i="9"/>
  <c r="AA37" i="9"/>
  <c r="S37" i="9"/>
  <c r="AI36" i="9"/>
  <c r="AA36" i="9"/>
  <c r="S36" i="9"/>
  <c r="AI35" i="9"/>
  <c r="AA35" i="9"/>
  <c r="S35" i="9"/>
  <c r="AI34" i="9"/>
  <c r="AA34" i="9"/>
  <c r="S34" i="9"/>
  <c r="AI33" i="9"/>
  <c r="AA33" i="9"/>
  <c r="S33" i="9"/>
  <c r="AI32" i="9"/>
  <c r="AA32" i="9"/>
  <c r="S32" i="9"/>
  <c r="AI31" i="9"/>
  <c r="AA31" i="9"/>
  <c r="S31" i="9"/>
  <c r="AI30" i="9"/>
  <c r="AA30" i="9"/>
  <c r="S30" i="9"/>
  <c r="AI29" i="9"/>
  <c r="AA29" i="9"/>
  <c r="S29" i="9"/>
  <c r="AI28" i="9"/>
  <c r="AA28" i="9"/>
  <c r="S28" i="9"/>
  <c r="AI27" i="9"/>
  <c r="AA27" i="9"/>
  <c r="S27" i="9"/>
  <c r="AI26" i="9"/>
  <c r="AA26" i="9"/>
  <c r="S26" i="9"/>
  <c r="AI25" i="9"/>
  <c r="AA25" i="9"/>
  <c r="S25" i="9"/>
  <c r="AI24" i="9"/>
  <c r="AA24" i="9"/>
  <c r="S24" i="9"/>
  <c r="AI23" i="9"/>
  <c r="AA23" i="9"/>
  <c r="S23" i="9"/>
  <c r="AI22" i="9"/>
  <c r="AA22" i="9"/>
  <c r="S22" i="9"/>
  <c r="AI21" i="9"/>
  <c r="AA21" i="9"/>
  <c r="S21" i="9"/>
  <c r="AI20" i="9"/>
  <c r="AA20" i="9"/>
  <c r="S20" i="9"/>
  <c r="AI19" i="9"/>
  <c r="AA19" i="9"/>
  <c r="S19" i="9"/>
  <c r="AI18" i="9"/>
  <c r="AA18" i="9"/>
  <c r="S18" i="9"/>
  <c r="S67" i="7" l="1"/>
  <c r="S75" i="7"/>
  <c r="S76" i="7"/>
  <c r="AA57" i="7"/>
  <c r="AA58" i="7"/>
  <c r="AA59" i="7"/>
  <c r="AA60" i="7"/>
  <c r="AA61" i="7"/>
  <c r="AA62" i="7"/>
  <c r="AA63" i="7"/>
  <c r="AA70" i="7"/>
  <c r="AA71" i="7"/>
  <c r="AA72" i="7"/>
  <c r="AA73" i="7"/>
  <c r="AA74" i="7"/>
  <c r="AI76" i="8"/>
  <c r="AA76" i="8"/>
  <c r="S76" i="8"/>
  <c r="AI75" i="8"/>
  <c r="AA75" i="8"/>
  <c r="S75" i="8"/>
  <c r="AI74" i="8"/>
  <c r="AA74" i="8"/>
  <c r="S74" i="8"/>
  <c r="AI73" i="8"/>
  <c r="AA73" i="8"/>
  <c r="S73" i="8"/>
  <c r="AI72" i="8"/>
  <c r="AA72" i="8"/>
  <c r="S72" i="8"/>
  <c r="AI71" i="8"/>
  <c r="AA71" i="8"/>
  <c r="S71" i="8"/>
  <c r="AI70" i="8"/>
  <c r="AA70" i="8"/>
  <c r="S70" i="8"/>
  <c r="AI69" i="8"/>
  <c r="AA69" i="8"/>
  <c r="S69" i="8"/>
  <c r="AI68" i="8"/>
  <c r="AA68" i="8"/>
  <c r="S68" i="8"/>
  <c r="AI67" i="8"/>
  <c r="AA67" i="8"/>
  <c r="S67" i="8"/>
  <c r="AI66" i="8"/>
  <c r="AA66" i="8"/>
  <c r="S66" i="8"/>
  <c r="AI65" i="8"/>
  <c r="AA65" i="8"/>
  <c r="S65" i="8"/>
  <c r="AI64" i="8"/>
  <c r="AA64" i="8"/>
  <c r="S64" i="8"/>
  <c r="AI63" i="8"/>
  <c r="AA63" i="8"/>
  <c r="S63" i="8"/>
  <c r="AI62" i="8"/>
  <c r="AA62" i="8"/>
  <c r="S62" i="8"/>
  <c r="AI61" i="8"/>
  <c r="AA61" i="8"/>
  <c r="S61" i="8"/>
  <c r="AI60" i="8"/>
  <c r="AA60" i="8"/>
  <c r="S60" i="8"/>
  <c r="AI59" i="8"/>
  <c r="AA59" i="8"/>
  <c r="S59" i="8"/>
  <c r="AI58" i="8"/>
  <c r="AA58" i="8"/>
  <c r="S58" i="8"/>
  <c r="AI57" i="8"/>
  <c r="AA57" i="8"/>
  <c r="S57" i="8"/>
  <c r="AI37" i="8"/>
  <c r="AA37" i="8"/>
  <c r="S37" i="8"/>
  <c r="AI36" i="8"/>
  <c r="AA36" i="8"/>
  <c r="S36" i="8"/>
  <c r="AI35" i="8"/>
  <c r="AA35" i="8"/>
  <c r="S35" i="8"/>
  <c r="AI34" i="8"/>
  <c r="AA34" i="8"/>
  <c r="S34" i="8"/>
  <c r="AI33" i="8"/>
  <c r="AA33" i="8"/>
  <c r="S33" i="8"/>
  <c r="AI32" i="8"/>
  <c r="AA32" i="8"/>
  <c r="S32" i="8"/>
  <c r="AI31" i="8"/>
  <c r="AA31" i="8"/>
  <c r="S31" i="8"/>
  <c r="AI30" i="8"/>
  <c r="AA30" i="8"/>
  <c r="S30" i="8"/>
  <c r="AI29" i="8"/>
  <c r="AA29" i="8"/>
  <c r="S29" i="8"/>
  <c r="AI28" i="8"/>
  <c r="AA28" i="8"/>
  <c r="S28" i="8"/>
  <c r="AI27" i="8"/>
  <c r="AA27" i="8"/>
  <c r="S27" i="8"/>
  <c r="AI26" i="8"/>
  <c r="AA26" i="8"/>
  <c r="S26" i="8"/>
  <c r="AI25" i="8"/>
  <c r="AA25" i="8"/>
  <c r="S25" i="8"/>
  <c r="AI24" i="8"/>
  <c r="AA24" i="8"/>
  <c r="S24" i="8"/>
  <c r="AI23" i="8"/>
  <c r="AA23" i="8"/>
  <c r="S23" i="8"/>
  <c r="AI22" i="8"/>
  <c r="AA22" i="8"/>
  <c r="S22" i="8"/>
  <c r="AI21" i="8"/>
  <c r="AA21" i="8"/>
  <c r="S21" i="8"/>
  <c r="AI20" i="8"/>
  <c r="AA20" i="8"/>
  <c r="S20" i="8"/>
  <c r="AI19" i="8"/>
  <c r="AA19" i="8"/>
  <c r="S19" i="8"/>
  <c r="AI18" i="8"/>
  <c r="AA18" i="8"/>
  <c r="S18" i="8"/>
  <c r="AI76" i="7"/>
  <c r="AA76" i="7"/>
  <c r="AI75" i="7"/>
  <c r="AA75" i="7"/>
  <c r="AI74" i="7"/>
  <c r="S74" i="7"/>
  <c r="AI73" i="7"/>
  <c r="S73" i="7"/>
  <c r="AI72" i="7"/>
  <c r="S72" i="7"/>
  <c r="AI71" i="7"/>
  <c r="S71" i="7"/>
  <c r="AI70" i="7"/>
  <c r="S70" i="7"/>
  <c r="AI69" i="7"/>
  <c r="AA69" i="7"/>
  <c r="S69" i="7"/>
  <c r="AI68" i="7"/>
  <c r="AA68" i="7"/>
  <c r="S68" i="7"/>
  <c r="AI67" i="7"/>
  <c r="AA67" i="7"/>
  <c r="AI66" i="7"/>
  <c r="AA66" i="7"/>
  <c r="S66" i="7"/>
  <c r="AI65" i="7"/>
  <c r="AA65" i="7"/>
  <c r="S65" i="7"/>
  <c r="AI64" i="7"/>
  <c r="AA64" i="7"/>
  <c r="S64" i="7"/>
  <c r="AI63" i="7"/>
  <c r="S63" i="7"/>
  <c r="AI62" i="7"/>
  <c r="S62" i="7"/>
  <c r="AI61" i="7"/>
  <c r="S61" i="7"/>
  <c r="AI60" i="7"/>
  <c r="S60" i="7"/>
  <c r="AI59" i="7"/>
  <c r="S59" i="7"/>
  <c r="AI58" i="7"/>
  <c r="S58" i="7"/>
  <c r="AI57" i="7"/>
  <c r="S57" i="7"/>
  <c r="AI37" i="7"/>
  <c r="AA37" i="7"/>
  <c r="S37" i="7"/>
  <c r="AI36" i="7"/>
  <c r="AA36" i="7"/>
  <c r="S36" i="7"/>
  <c r="AI35" i="7"/>
  <c r="AA35" i="7"/>
  <c r="S35" i="7"/>
  <c r="AI34" i="7"/>
  <c r="AA34" i="7"/>
  <c r="S34" i="7"/>
  <c r="AI33" i="7"/>
  <c r="AA33" i="7"/>
  <c r="S33" i="7"/>
  <c r="AI32" i="7"/>
  <c r="AA32" i="7"/>
  <c r="S32" i="7"/>
  <c r="AI31" i="7"/>
  <c r="AA31" i="7"/>
  <c r="S31" i="7"/>
  <c r="AI30" i="7"/>
  <c r="AA30" i="7"/>
  <c r="S30" i="7"/>
  <c r="AI29" i="7"/>
  <c r="AA29" i="7"/>
  <c r="S29" i="7"/>
  <c r="AI28" i="7"/>
  <c r="AA28" i="7"/>
  <c r="S28" i="7"/>
  <c r="AI27" i="7"/>
  <c r="AA27" i="7"/>
  <c r="S27" i="7"/>
  <c r="AI26" i="7"/>
  <c r="AA26" i="7"/>
  <c r="S26" i="7"/>
  <c r="AI25" i="7"/>
  <c r="AA25" i="7"/>
  <c r="S25" i="7"/>
  <c r="AI24" i="7"/>
  <c r="AA24" i="7"/>
  <c r="S24" i="7"/>
  <c r="AI23" i="7"/>
  <c r="AA23" i="7"/>
  <c r="S23" i="7"/>
  <c r="AI22" i="7"/>
  <c r="AA22" i="7"/>
  <c r="S22" i="7"/>
  <c r="AI21" i="7"/>
  <c r="AA21" i="7"/>
  <c r="S21" i="7"/>
  <c r="AI20" i="7"/>
  <c r="AA20" i="7"/>
  <c r="S20" i="7"/>
  <c r="AI19" i="7"/>
  <c r="AA19" i="7"/>
  <c r="S19" i="7"/>
  <c r="AI18" i="7"/>
  <c r="AA18" i="7"/>
  <c r="S18" i="7"/>
  <c r="AA64" i="3" l="1"/>
  <c r="AA61" i="3"/>
  <c r="AA68" i="3"/>
  <c r="AA58" i="3"/>
  <c r="AA74" i="3"/>
  <c r="AA71" i="3"/>
  <c r="S74" i="3"/>
  <c r="S64" i="3"/>
  <c r="S61" i="3"/>
  <c r="S71" i="3"/>
  <c r="S58" i="3"/>
  <c r="S68" i="3"/>
  <c r="AI74" i="3"/>
  <c r="AI64" i="3"/>
  <c r="AI71" i="3"/>
  <c r="AI61" i="3"/>
  <c r="AI68" i="3"/>
  <c r="AI58" i="3"/>
  <c r="AA35" i="3" l="1"/>
  <c r="AA25" i="3"/>
  <c r="AA32" i="3"/>
  <c r="AA22" i="3"/>
  <c r="AA29" i="3"/>
  <c r="AA19" i="3"/>
  <c r="S35" i="3"/>
  <c r="S25" i="3"/>
  <c r="S32" i="3"/>
  <c r="S22" i="3"/>
  <c r="S29" i="3"/>
  <c r="S19" i="3"/>
  <c r="AI35" i="3"/>
  <c r="AI25" i="3"/>
  <c r="AI32" i="3"/>
  <c r="AI22" i="3"/>
  <c r="AI19" i="3"/>
  <c r="AI29" i="3"/>
  <c r="AI37" i="1"/>
  <c r="AI27" i="1"/>
  <c r="AA61" i="1" l="1"/>
  <c r="S64" i="1"/>
  <c r="S61" i="1"/>
  <c r="S68" i="1"/>
  <c r="S58" i="1"/>
  <c r="AI74" i="1"/>
  <c r="AI64" i="1"/>
  <c r="AI71" i="1"/>
  <c r="AI61" i="1"/>
  <c r="AI68" i="1"/>
  <c r="AI58" i="1"/>
  <c r="AA35" i="1"/>
  <c r="AA25" i="1"/>
  <c r="AA29" i="1"/>
  <c r="S35" i="1"/>
  <c r="S25" i="1"/>
  <c r="S29" i="1"/>
  <c r="S19" i="1"/>
  <c r="AI32" i="1"/>
  <c r="AI29" i="1"/>
  <c r="AI19" i="1"/>
  <c r="AI35" i="1"/>
  <c r="AI25" i="1"/>
  <c r="AI22" i="1"/>
  <c r="AA74" i="1"/>
  <c r="AA71" i="1"/>
  <c r="AA68" i="1"/>
  <c r="AA64" i="1"/>
  <c r="AA58" i="1"/>
  <c r="AA32" i="1"/>
  <c r="AA22" i="1"/>
  <c r="AA19" i="1"/>
  <c r="S74" i="1"/>
  <c r="S71" i="1"/>
  <c r="S32" i="1"/>
  <c r="S22" i="1"/>
  <c r="AI76" i="3" l="1"/>
  <c r="AI75" i="3"/>
  <c r="AI73" i="3"/>
  <c r="AI72" i="3"/>
  <c r="AI70" i="3"/>
  <c r="AI69" i="3"/>
  <c r="AI67" i="3"/>
  <c r="AI66" i="3"/>
  <c r="AI65" i="3"/>
  <c r="AI63" i="3"/>
  <c r="AI62" i="3"/>
  <c r="AI60" i="3"/>
  <c r="AI59" i="3"/>
  <c r="AI57" i="3"/>
  <c r="AI37" i="3"/>
  <c r="AI36" i="3"/>
  <c r="AI34" i="3"/>
  <c r="AI33" i="3"/>
  <c r="AI31" i="3"/>
  <c r="AI30" i="3"/>
  <c r="AI28" i="3"/>
  <c r="AI27" i="3"/>
  <c r="AI26" i="3"/>
  <c r="AI24" i="3"/>
  <c r="AI23" i="3"/>
  <c r="AI21" i="3"/>
  <c r="AI20" i="3"/>
  <c r="AI18" i="3"/>
  <c r="AI76" i="1"/>
  <c r="AI75" i="1"/>
  <c r="AI73" i="1"/>
  <c r="AI72" i="1"/>
  <c r="AI70" i="1"/>
  <c r="AI69" i="1"/>
  <c r="AI67" i="1"/>
  <c r="AI66" i="1"/>
  <c r="AI65" i="1"/>
  <c r="AI63" i="1"/>
  <c r="AI62" i="1"/>
  <c r="AI60" i="1"/>
  <c r="AI59" i="1"/>
  <c r="AI57" i="1"/>
  <c r="AI36" i="1"/>
  <c r="AI34" i="1"/>
  <c r="AI33" i="1"/>
  <c r="AI31" i="1"/>
  <c r="AI30" i="1"/>
  <c r="AI28" i="1"/>
  <c r="AI26" i="1"/>
  <c r="AI24" i="1"/>
  <c r="AI23" i="1"/>
  <c r="AI21" i="1"/>
  <c r="AI20" i="1"/>
  <c r="AI18" i="1"/>
  <c r="Z64" i="5"/>
  <c r="Y64" i="5"/>
  <c r="X64" i="5"/>
  <c r="W64" i="5"/>
  <c r="V64" i="5"/>
  <c r="Z63" i="5"/>
  <c r="Y63" i="5"/>
  <c r="X63" i="5"/>
  <c r="W63" i="5"/>
  <c r="V63" i="5"/>
  <c r="Z62" i="5"/>
  <c r="Y62" i="5"/>
  <c r="X62" i="5"/>
  <c r="W62" i="5"/>
  <c r="V62" i="5"/>
  <c r="Z61" i="5"/>
  <c r="Y61" i="5"/>
  <c r="X61" i="5"/>
  <c r="W61" i="5"/>
  <c r="V61" i="5"/>
  <c r="Z60" i="5"/>
  <c r="Y60" i="5"/>
  <c r="X60" i="5"/>
  <c r="W60" i="5"/>
  <c r="V60" i="5"/>
  <c r="Z59" i="5"/>
  <c r="Y59" i="5"/>
  <c r="X59" i="5"/>
  <c r="W59" i="5"/>
  <c r="V59" i="5"/>
  <c r="Z58" i="5"/>
  <c r="Y58" i="5"/>
  <c r="X58" i="5"/>
  <c r="W58" i="5"/>
  <c r="V58" i="5"/>
  <c r="Z57" i="5"/>
  <c r="Y57" i="5"/>
  <c r="X57" i="5"/>
  <c r="W57" i="5"/>
  <c r="V57" i="5"/>
  <c r="Z56" i="5"/>
  <c r="Y56" i="5"/>
  <c r="X56" i="5"/>
  <c r="W56" i="5"/>
  <c r="V56" i="5"/>
  <c r="Z55" i="5"/>
  <c r="Y55" i="5"/>
  <c r="X55" i="5"/>
  <c r="W55" i="5"/>
  <c r="V55" i="5"/>
  <c r="Z54" i="5"/>
  <c r="Y54" i="5"/>
  <c r="X54" i="5"/>
  <c r="W54" i="5"/>
  <c r="V54" i="5"/>
  <c r="Z53" i="5"/>
  <c r="Y53" i="5"/>
  <c r="X53" i="5"/>
  <c r="W53" i="5"/>
  <c r="V53" i="5"/>
  <c r="Z52" i="5"/>
  <c r="Y52" i="5"/>
  <c r="X52" i="5"/>
  <c r="W52" i="5"/>
  <c r="V52" i="5"/>
  <c r="Z51" i="5"/>
  <c r="Y51" i="5"/>
  <c r="X51" i="5"/>
  <c r="W51" i="5"/>
  <c r="V51" i="5"/>
  <c r="Z31" i="5"/>
  <c r="Y31" i="5"/>
  <c r="X31" i="5"/>
  <c r="W31" i="5"/>
  <c r="V31" i="5"/>
  <c r="Z30" i="5"/>
  <c r="Y30" i="5"/>
  <c r="X30" i="5"/>
  <c r="W30" i="5"/>
  <c r="V30" i="5"/>
  <c r="Z29" i="5"/>
  <c r="Y29" i="5"/>
  <c r="X29" i="5"/>
  <c r="W29" i="5"/>
  <c r="V29" i="5"/>
  <c r="Z28" i="5"/>
  <c r="Y28" i="5"/>
  <c r="X28" i="5"/>
  <c r="W28" i="5"/>
  <c r="V28" i="5"/>
  <c r="Z27" i="5"/>
  <c r="Y27" i="5"/>
  <c r="X27" i="5"/>
  <c r="W27" i="5"/>
  <c r="V27" i="5"/>
  <c r="Z26" i="5"/>
  <c r="Y26" i="5"/>
  <c r="X26" i="5"/>
  <c r="W26" i="5"/>
  <c r="V26" i="5"/>
  <c r="Z25" i="5"/>
  <c r="Y25" i="5"/>
  <c r="X25" i="5"/>
  <c r="W25" i="5"/>
  <c r="V25" i="5"/>
  <c r="Z24" i="5"/>
  <c r="Y24" i="5"/>
  <c r="X24" i="5"/>
  <c r="W24" i="5"/>
  <c r="V24" i="5"/>
  <c r="Z23" i="5"/>
  <c r="Y23" i="5"/>
  <c r="X23" i="5"/>
  <c r="W23" i="5"/>
  <c r="V23" i="5"/>
  <c r="Z22" i="5"/>
  <c r="Y22" i="5"/>
  <c r="X22" i="5"/>
  <c r="W22" i="5"/>
  <c r="V22" i="5"/>
  <c r="Z21" i="5"/>
  <c r="Y21" i="5"/>
  <c r="X21" i="5"/>
  <c r="W21" i="5"/>
  <c r="V21" i="5"/>
  <c r="Z20" i="5"/>
  <c r="Y20" i="5"/>
  <c r="X20" i="5"/>
  <c r="W20" i="5"/>
  <c r="V20" i="5"/>
  <c r="Z19" i="5"/>
  <c r="Y19" i="5"/>
  <c r="X19" i="5"/>
  <c r="W19" i="5"/>
  <c r="V19" i="5"/>
  <c r="Z18" i="5"/>
  <c r="Y18" i="5"/>
  <c r="X18" i="5"/>
  <c r="W18" i="5"/>
  <c r="V18" i="5"/>
  <c r="AA59" i="5" l="1"/>
  <c r="AA28" i="5"/>
  <c r="AA30" i="5"/>
  <c r="AA23" i="5"/>
  <c r="AA19" i="5"/>
  <c r="AA61" i="5"/>
  <c r="AA31" i="5"/>
  <c r="AA18" i="5"/>
  <c r="AA63" i="5"/>
  <c r="AA58" i="5"/>
  <c r="AA25" i="5"/>
  <c r="AA56" i="5"/>
  <c r="AA52" i="5"/>
  <c r="AA64" i="5"/>
  <c r="AA51" i="5"/>
  <c r="AA57" i="5"/>
  <c r="AA26" i="5"/>
  <c r="AA54" i="5"/>
  <c r="AA24" i="5"/>
  <c r="AA21" i="5"/>
  <c r="AA29" i="5"/>
  <c r="AA60" i="5"/>
  <c r="AA20" i="5"/>
  <c r="AA55" i="5"/>
  <c r="AA22" i="5"/>
  <c r="AA62" i="5"/>
  <c r="AA53" i="5"/>
  <c r="AA27" i="5"/>
  <c r="S20" i="1" l="1"/>
  <c r="S18" i="1"/>
  <c r="AA64" i="6" l="1"/>
  <c r="Q64" i="5" s="1"/>
  <c r="S64" i="6"/>
  <c r="H64" i="5" s="1"/>
  <c r="AA63" i="6"/>
  <c r="Q63" i="5" s="1"/>
  <c r="S63" i="6"/>
  <c r="H63" i="5" s="1"/>
  <c r="AA62" i="6"/>
  <c r="Q62" i="5" s="1"/>
  <c r="S62" i="6"/>
  <c r="H62" i="5" s="1"/>
  <c r="AA61" i="6"/>
  <c r="Q61" i="5" s="1"/>
  <c r="S61" i="6"/>
  <c r="H61" i="5" s="1"/>
  <c r="AA60" i="6"/>
  <c r="Q60" i="5" s="1"/>
  <c r="S60" i="6"/>
  <c r="H60" i="5" s="1"/>
  <c r="AA59" i="6"/>
  <c r="Q59" i="5" s="1"/>
  <c r="S59" i="6"/>
  <c r="H59" i="5" s="1"/>
  <c r="AA58" i="6"/>
  <c r="Q58" i="5" s="1"/>
  <c r="S58" i="6"/>
  <c r="H58" i="5" s="1"/>
  <c r="AA57" i="6"/>
  <c r="Q57" i="5" s="1"/>
  <c r="S57" i="6"/>
  <c r="H57" i="5" s="1"/>
  <c r="AA56" i="6"/>
  <c r="Q56" i="5" s="1"/>
  <c r="S56" i="6"/>
  <c r="H56" i="5" s="1"/>
  <c r="AA55" i="6"/>
  <c r="Q55" i="5" s="1"/>
  <c r="S55" i="6"/>
  <c r="H55" i="5" s="1"/>
  <c r="AA54" i="6"/>
  <c r="Q54" i="5" s="1"/>
  <c r="S54" i="6"/>
  <c r="H54" i="5" s="1"/>
  <c r="AA53" i="6"/>
  <c r="Q53" i="5" s="1"/>
  <c r="S53" i="6"/>
  <c r="H53" i="5" s="1"/>
  <c r="AA52" i="6"/>
  <c r="Q52" i="5" s="1"/>
  <c r="S52" i="6"/>
  <c r="H52" i="5" s="1"/>
  <c r="AA51" i="6"/>
  <c r="Q51" i="5" s="1"/>
  <c r="S51" i="6"/>
  <c r="H51" i="5" s="1"/>
  <c r="AA31" i="6"/>
  <c r="Q31" i="5" s="1"/>
  <c r="S31" i="6"/>
  <c r="H31" i="5" s="1"/>
  <c r="AA30" i="6"/>
  <c r="Q30" i="5" s="1"/>
  <c r="S30" i="6"/>
  <c r="H30" i="5" s="1"/>
  <c r="AA29" i="6"/>
  <c r="Q29" i="5" s="1"/>
  <c r="S29" i="6"/>
  <c r="H29" i="5" s="1"/>
  <c r="AA28" i="6"/>
  <c r="Q28" i="5" s="1"/>
  <c r="S28" i="6"/>
  <c r="H28" i="5" s="1"/>
  <c r="AA27" i="6"/>
  <c r="Q27" i="5" s="1"/>
  <c r="S27" i="6"/>
  <c r="H27" i="5" s="1"/>
  <c r="AA26" i="6"/>
  <c r="Q26" i="5" s="1"/>
  <c r="S26" i="6"/>
  <c r="H26" i="5" s="1"/>
  <c r="AA25" i="6"/>
  <c r="Q25" i="5" s="1"/>
  <c r="S25" i="6"/>
  <c r="H25" i="5" s="1"/>
  <c r="AA24" i="6"/>
  <c r="Q24" i="5" s="1"/>
  <c r="S24" i="6"/>
  <c r="H24" i="5" s="1"/>
  <c r="AA23" i="6"/>
  <c r="Q23" i="5" s="1"/>
  <c r="S23" i="6"/>
  <c r="H23" i="5" s="1"/>
  <c r="AA22" i="6"/>
  <c r="Q22" i="5" s="1"/>
  <c r="S22" i="6"/>
  <c r="H22" i="5" s="1"/>
  <c r="AA21" i="6"/>
  <c r="Q21" i="5" s="1"/>
  <c r="S21" i="6"/>
  <c r="H21" i="5" s="1"/>
  <c r="AA20" i="6"/>
  <c r="Q20" i="5" s="1"/>
  <c r="S20" i="6"/>
  <c r="H20" i="5" s="1"/>
  <c r="AA19" i="6"/>
  <c r="Q19" i="5" s="1"/>
  <c r="S19" i="6"/>
  <c r="H19" i="5" s="1"/>
  <c r="AA18" i="6"/>
  <c r="Q18" i="5" s="1"/>
  <c r="S18" i="6"/>
  <c r="H18" i="5" s="1"/>
  <c r="AA20" i="1" l="1"/>
  <c r="AA76" i="1" l="1"/>
  <c r="AA75" i="1"/>
  <c r="AA73" i="1"/>
  <c r="AA72" i="1"/>
  <c r="AA70" i="1"/>
  <c r="AA69" i="1"/>
  <c r="AA67" i="1"/>
  <c r="AA66" i="1"/>
  <c r="M57" i="5" s="1"/>
  <c r="AA65" i="1"/>
  <c r="AA63" i="1"/>
  <c r="AA62" i="1"/>
  <c r="AA60" i="1"/>
  <c r="AA59" i="1"/>
  <c r="AA57" i="1"/>
  <c r="M51" i="5" s="1"/>
  <c r="AA37" i="1"/>
  <c r="AA36" i="1"/>
  <c r="AA34" i="1"/>
  <c r="AA33" i="1"/>
  <c r="AA31" i="1"/>
  <c r="AA30" i="1"/>
  <c r="AA28" i="1"/>
  <c r="AA27" i="1"/>
  <c r="AA26" i="1"/>
  <c r="AA24" i="1"/>
  <c r="AA21" i="1"/>
  <c r="AA18" i="1"/>
  <c r="M64" i="5" l="1"/>
  <c r="M63" i="5"/>
  <c r="M62" i="5"/>
  <c r="M61" i="5"/>
  <c r="M60" i="5"/>
  <c r="M59" i="5"/>
  <c r="M58" i="5"/>
  <c r="M56" i="5"/>
  <c r="M55" i="5"/>
  <c r="M54" i="5"/>
  <c r="M53" i="5"/>
  <c r="M52" i="5"/>
  <c r="M31" i="5"/>
  <c r="M30" i="5"/>
  <c r="M28" i="5"/>
  <c r="M27" i="5"/>
  <c r="M26" i="5"/>
  <c r="M25" i="5"/>
  <c r="M24" i="5"/>
  <c r="M23" i="5"/>
  <c r="M22" i="5"/>
  <c r="M20" i="5"/>
  <c r="M19" i="5"/>
  <c r="M18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31" i="5"/>
  <c r="P30" i="5"/>
  <c r="P29" i="5"/>
  <c r="P28" i="5"/>
  <c r="P27" i="5"/>
  <c r="P26" i="5"/>
  <c r="P25" i="5"/>
  <c r="P24" i="5"/>
  <c r="P23" i="5"/>
  <c r="P22" i="5"/>
  <c r="P20" i="5"/>
  <c r="P19" i="5"/>
  <c r="P18" i="5"/>
  <c r="AA76" i="3"/>
  <c r="O64" i="5" s="1"/>
  <c r="AA75" i="3"/>
  <c r="O63" i="5" s="1"/>
  <c r="AA73" i="3"/>
  <c r="O62" i="5" s="1"/>
  <c r="AA72" i="3"/>
  <c r="O61" i="5" s="1"/>
  <c r="AA70" i="3"/>
  <c r="O60" i="5" s="1"/>
  <c r="AA69" i="3"/>
  <c r="O59" i="5" s="1"/>
  <c r="AA67" i="3"/>
  <c r="O58" i="5" s="1"/>
  <c r="AA66" i="3"/>
  <c r="O57" i="5" s="1"/>
  <c r="AA65" i="3"/>
  <c r="O56" i="5" s="1"/>
  <c r="AA63" i="3"/>
  <c r="O55" i="5" s="1"/>
  <c r="AA62" i="3"/>
  <c r="O54" i="5" s="1"/>
  <c r="AA60" i="3"/>
  <c r="O53" i="5" s="1"/>
  <c r="AA59" i="3"/>
  <c r="O52" i="5" s="1"/>
  <c r="AA57" i="3"/>
  <c r="O51" i="5" s="1"/>
  <c r="AA37" i="3"/>
  <c r="O31" i="5" s="1"/>
  <c r="AA36" i="3"/>
  <c r="O30" i="5" s="1"/>
  <c r="AA34" i="3"/>
  <c r="O29" i="5" s="1"/>
  <c r="AA33" i="3"/>
  <c r="O28" i="5" s="1"/>
  <c r="AA31" i="3"/>
  <c r="O27" i="5" s="1"/>
  <c r="AA30" i="3"/>
  <c r="O26" i="5" s="1"/>
  <c r="AA28" i="3"/>
  <c r="O25" i="5" s="1"/>
  <c r="AA27" i="3"/>
  <c r="O24" i="5" s="1"/>
  <c r="AA26" i="3"/>
  <c r="O23" i="5" s="1"/>
  <c r="AA24" i="3"/>
  <c r="O22" i="5" s="1"/>
  <c r="AA21" i="3"/>
  <c r="O20" i="5" s="1"/>
  <c r="AA20" i="3"/>
  <c r="O19" i="5" s="1"/>
  <c r="AA18" i="3"/>
  <c r="O18" i="5" s="1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31" i="5"/>
  <c r="N30" i="5"/>
  <c r="N29" i="5"/>
  <c r="N28" i="5"/>
  <c r="N27" i="5"/>
  <c r="N26" i="5"/>
  <c r="N25" i="5"/>
  <c r="N24" i="5"/>
  <c r="N23" i="5"/>
  <c r="N22" i="5"/>
  <c r="N20" i="5"/>
  <c r="N19" i="5"/>
  <c r="N18" i="5"/>
  <c r="M29" i="5"/>
  <c r="S18" i="3"/>
  <c r="S65" i="3"/>
  <c r="S57" i="3"/>
  <c r="S21" i="3"/>
  <c r="S20" i="3"/>
  <c r="R18" i="5" l="1"/>
  <c r="R57" i="5"/>
  <c r="R19" i="5"/>
  <c r="R51" i="5"/>
  <c r="R52" i="5"/>
  <c r="R54" i="5"/>
  <c r="R56" i="5"/>
  <c r="R59" i="5"/>
  <c r="R61" i="5"/>
  <c r="R63" i="5"/>
  <c r="R64" i="5"/>
  <c r="R26" i="5"/>
  <c r="R30" i="5"/>
  <c r="R31" i="5"/>
  <c r="R28" i="5"/>
  <c r="R23" i="5"/>
  <c r="R24" i="5"/>
  <c r="R62" i="5"/>
  <c r="R55" i="5"/>
  <c r="R29" i="5"/>
  <c r="R22" i="5"/>
  <c r="R60" i="5"/>
  <c r="R53" i="5"/>
  <c r="R27" i="5"/>
  <c r="R20" i="5"/>
  <c r="R58" i="5"/>
  <c r="R25" i="5"/>
  <c r="F18" i="5"/>
  <c r="G58" i="5"/>
  <c r="F56" i="5"/>
  <c r="F51" i="5"/>
  <c r="F19" i="5"/>
  <c r="F20" i="5"/>
  <c r="G64" i="5"/>
  <c r="G63" i="5"/>
  <c r="G62" i="5"/>
  <c r="G61" i="5"/>
  <c r="G60" i="5"/>
  <c r="G59" i="5"/>
  <c r="G57" i="5"/>
  <c r="G56" i="5"/>
  <c r="G55" i="5"/>
  <c r="G54" i="5"/>
  <c r="G53" i="5"/>
  <c r="G52" i="5"/>
  <c r="G51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S76" i="3"/>
  <c r="F64" i="5" s="1"/>
  <c r="S75" i="3"/>
  <c r="F63" i="5" s="1"/>
  <c r="S73" i="3"/>
  <c r="F62" i="5" s="1"/>
  <c r="S72" i="3"/>
  <c r="F61" i="5" s="1"/>
  <c r="S70" i="3"/>
  <c r="F60" i="5" s="1"/>
  <c r="S69" i="3"/>
  <c r="F59" i="5" s="1"/>
  <c r="S67" i="3"/>
  <c r="F58" i="5" s="1"/>
  <c r="S66" i="3"/>
  <c r="F57" i="5" s="1"/>
  <c r="S63" i="3"/>
  <c r="F55" i="5" s="1"/>
  <c r="S62" i="3"/>
  <c r="F54" i="5" s="1"/>
  <c r="S60" i="3"/>
  <c r="F53" i="5" s="1"/>
  <c r="S59" i="3"/>
  <c r="F52" i="5" s="1"/>
  <c r="S37" i="3"/>
  <c r="F31" i="5" s="1"/>
  <c r="S36" i="3"/>
  <c r="F30" i="5" s="1"/>
  <c r="S34" i="3"/>
  <c r="F29" i="5" s="1"/>
  <c r="S33" i="3"/>
  <c r="F28" i="5" s="1"/>
  <c r="S31" i="3"/>
  <c r="F27" i="5" s="1"/>
  <c r="S30" i="3"/>
  <c r="F26" i="5" s="1"/>
  <c r="S28" i="3"/>
  <c r="F25" i="5" s="1"/>
  <c r="S27" i="3"/>
  <c r="F24" i="5" s="1"/>
  <c r="S26" i="3"/>
  <c r="F23" i="5" s="1"/>
  <c r="S24" i="3"/>
  <c r="F22" i="5" s="1"/>
  <c r="S23" i="3"/>
  <c r="F21" i="5" s="1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S76" i="1"/>
  <c r="D64" i="5" s="1"/>
  <c r="S66" i="1"/>
  <c r="D57" i="5" s="1"/>
  <c r="S59" i="1"/>
  <c r="D52" i="5" s="1"/>
  <c r="S60" i="1"/>
  <c r="D53" i="5" s="1"/>
  <c r="S62" i="1"/>
  <c r="D54" i="5" s="1"/>
  <c r="S63" i="1"/>
  <c r="D55" i="5" s="1"/>
  <c r="S65" i="1"/>
  <c r="D56" i="5" s="1"/>
  <c r="S67" i="1"/>
  <c r="D58" i="5" s="1"/>
  <c r="S69" i="1"/>
  <c r="D59" i="5" s="1"/>
  <c r="S70" i="1"/>
  <c r="D60" i="5" s="1"/>
  <c r="S72" i="1"/>
  <c r="D61" i="5" s="1"/>
  <c r="S73" i="1"/>
  <c r="D62" i="5" s="1"/>
  <c r="S75" i="1"/>
  <c r="D63" i="5" s="1"/>
  <c r="S57" i="1"/>
  <c r="D51" i="5" s="1"/>
  <c r="S37" i="1"/>
  <c r="D31" i="5" s="1"/>
  <c r="S27" i="1"/>
  <c r="D24" i="5" s="1"/>
  <c r="D19" i="5"/>
  <c r="S21" i="1"/>
  <c r="D20" i="5" s="1"/>
  <c r="S23" i="1"/>
  <c r="D21" i="5" s="1"/>
  <c r="S24" i="1"/>
  <c r="D22" i="5" s="1"/>
  <c r="S26" i="1"/>
  <c r="D23" i="5" s="1"/>
  <c r="S28" i="1"/>
  <c r="D25" i="5" s="1"/>
  <c r="S30" i="1"/>
  <c r="D26" i="5" s="1"/>
  <c r="S31" i="1"/>
  <c r="D27" i="5" s="1"/>
  <c r="S33" i="1"/>
  <c r="D28" i="5" s="1"/>
  <c r="S34" i="1"/>
  <c r="D29" i="5" s="1"/>
  <c r="S36" i="1"/>
  <c r="D30" i="5" s="1"/>
  <c r="D18" i="5"/>
  <c r="I24" i="5" l="1"/>
  <c r="I63" i="5"/>
  <c r="I21" i="5"/>
  <c r="I19" i="5"/>
  <c r="I56" i="5"/>
  <c r="I52" i="5"/>
  <c r="I58" i="5"/>
  <c r="I57" i="5"/>
  <c r="I54" i="5"/>
  <c r="I64" i="5"/>
  <c r="I59" i="5"/>
  <c r="I61" i="5"/>
  <c r="I31" i="5"/>
  <c r="I26" i="5"/>
  <c r="I30" i="5"/>
  <c r="I28" i="5"/>
  <c r="I23" i="5"/>
  <c r="I62" i="5"/>
  <c r="I55" i="5"/>
  <c r="I29" i="5"/>
  <c r="I22" i="5"/>
  <c r="I27" i="5"/>
  <c r="I20" i="5"/>
  <c r="I51" i="5"/>
  <c r="I25" i="5"/>
  <c r="I18" i="5"/>
  <c r="I60" i="5"/>
  <c r="I53" i="5"/>
  <c r="P21" i="5"/>
  <c r="AA23" i="3"/>
  <c r="O21" i="5" s="1"/>
  <c r="N21" i="5"/>
  <c r="AA23" i="1"/>
  <c r="M21" i="5" s="1"/>
  <c r="R21" i="5" l="1"/>
</calcChain>
</file>

<file path=xl/sharedStrings.xml><?xml version="1.0" encoding="utf-8"?>
<sst xmlns="http://schemas.openxmlformats.org/spreadsheetml/2006/main" count="4172" uniqueCount="48">
  <si>
    <t>Strain and Stress Ranges</t>
  </si>
  <si>
    <t>BE-HE</t>
  </si>
  <si>
    <t>10in</t>
  </si>
  <si>
    <t>Max. Axial Mechanical Tensile Strain OD (Hydrotest)</t>
  </si>
  <si>
    <t>Max. Axial Total Tensile Strain OD (Hydrotest)</t>
  </si>
  <si>
    <t>Max. Axial Mechanical Tensile Strain ID (Hydrotest)</t>
  </si>
  <si>
    <r>
      <t xml:space="preserve">Max. Axial Total Tensile Strain </t>
    </r>
    <r>
      <rPr>
        <sz val="9"/>
        <color theme="1"/>
        <rFont val="Arial"/>
        <family val="2"/>
      </rPr>
      <t>ID (Hydrotest)</t>
    </r>
  </si>
  <si>
    <t>Max. Axial Mechanical Tensile Strain OD (Design)</t>
  </si>
  <si>
    <t>Max. Axial Total Tensile Strain OD (Design)</t>
  </si>
  <si>
    <t>Max. Axial Mechanical Tensile Strain ID (Design)</t>
  </si>
  <si>
    <r>
      <t xml:space="preserve">Max. Axial Total Tensile Strain </t>
    </r>
    <r>
      <rPr>
        <sz val="9"/>
        <color theme="1"/>
        <rFont val="Arial"/>
        <family val="2"/>
      </rPr>
      <t>ID (Design)</t>
    </r>
  </si>
  <si>
    <t>Max. Axial Mechanical Tensile Strain OD (Early Life)</t>
  </si>
  <si>
    <t>Max. Axial Total Tensile Strain OD (Early Life)</t>
  </si>
  <si>
    <t>Max. Axial Mechanical Tensile Strain ID (Early Life)</t>
  </si>
  <si>
    <r>
      <t xml:space="preserve">Max. Axial Total Tensile Strain </t>
    </r>
    <r>
      <rPr>
        <sz val="9"/>
        <color theme="1"/>
        <rFont val="Arial"/>
        <family val="2"/>
      </rPr>
      <t>ID (Early Life)</t>
    </r>
  </si>
  <si>
    <t>Max. Axial Mechanical Tensile Strain OD (Late Life)</t>
  </si>
  <si>
    <t>Max. Axial Total Tensile Strain OD (Late Life)</t>
  </si>
  <si>
    <t>Max. Axial Mechanical Tensile Strain ID (Late Life)</t>
  </si>
  <si>
    <r>
      <t xml:space="preserve">Max. Axial Total Tensile Strain </t>
    </r>
    <r>
      <rPr>
        <sz val="9"/>
        <color theme="1"/>
        <rFont val="Arial"/>
        <family val="2"/>
      </rPr>
      <t>ID (Late Life)</t>
    </r>
  </si>
  <si>
    <t>Early Life (1 to 15 yr)</t>
  </si>
  <si>
    <t>Late Life (16 to 25 yr)</t>
  </si>
  <si>
    <t>Longitudinal Stress Range at Cap, MPa (FCD)</t>
  </si>
  <si>
    <t>Longitudinal Stress Range at Cap, MPa (PCD)</t>
  </si>
  <si>
    <t>Longitudinal Stress Range at CAP (Hydrotest), MPa</t>
  </si>
  <si>
    <t>LE-BE</t>
  </si>
  <si>
    <t>BE-BE</t>
  </si>
  <si>
    <t>HE-BE</t>
  </si>
  <si>
    <t>Input for ECA</t>
  </si>
  <si>
    <t>12in</t>
  </si>
  <si>
    <t>Non-Structural</t>
  </si>
  <si>
    <t>Structure</t>
  </si>
  <si>
    <t>Longitudinal Stress Range at MidWall, MPa (FCD)</t>
  </si>
  <si>
    <t>Longitudinal Stress Range at MidWall, MPa (PCD)</t>
  </si>
  <si>
    <t>Longitudinal Stress Range at MidWall, MPa (Between Hot Oiling)</t>
  </si>
  <si>
    <t>Longitudinal Stress Range at Midwall (Hydrotest), MPa</t>
  </si>
  <si>
    <t>Longitudinal Stress Range at Cap, MPa (Between Hot Oiling)</t>
  </si>
  <si>
    <t>HE-BEWalking</t>
  </si>
  <si>
    <t>checked</t>
  </si>
  <si>
    <t>R1tR2</t>
  </si>
  <si>
    <t>R1tR2_rogue</t>
  </si>
  <si>
    <t>r1tr2</t>
  </si>
  <si>
    <t>r2tr1</t>
  </si>
  <si>
    <t>checked(RB)</t>
  </si>
  <si>
    <t>x</t>
  </si>
  <si>
    <t>Sleeper</t>
  </si>
  <si>
    <t>Other</t>
  </si>
  <si>
    <t>Early Life (1 to 9 yr)</t>
  </si>
  <si>
    <t>Mid Life (10 to 15 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</si>
</sst>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sz val="9"/>
      <color theme="4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12D6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3" borderId="0" xfId="0" applyFont="1" applyFill="1"/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5" fillId="0" borderId="0" xfId="0" applyFont="1"/>
    <xf numFmtId="164" fontId="4" fillId="4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164" fontId="4" fillId="5" borderId="3" xfId="0" applyNumberFormat="1" applyFont="1" applyFill="1" applyBorder="1" applyAlignment="1">
      <alignment horizontal="center" vertical="center" wrapText="1"/>
    </xf>
    <xf numFmtId="164" fontId="6" fillId="5" borderId="3" xfId="0" applyNumberFormat="1" applyFont="1" applyFill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164" fontId="10" fillId="5" borderId="3" xfId="0" applyNumberFormat="1" applyFont="1" applyFill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164" fontId="10" fillId="4" borderId="3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O1:AL76"/>
  <sheetViews>
    <sheetView workbookViewId="0">
      <selection activeCell="C31" sqref="C31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5" max="15" width="7.81640625" bestFit="1" customWidth="1"/>
    <col min="16" max="16" width="27.81640625" customWidth="1"/>
    <col min="17" max="17" width="17.7265625" customWidth="1"/>
    <col min="18" max="18" width="11.54296875" bestFit="1" customWidth="1"/>
    <col min="24" max="24" width="26.1796875" customWidth="1"/>
    <col min="25" max="25" width="19.1796875" customWidth="1"/>
    <col min="26" max="26" width="11.54296875" bestFit="1" customWidth="1"/>
    <col min="32" max="32" width="26.1796875" customWidth="1"/>
    <col min="33" max="33" width="17.542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1</v>
      </c>
      <c r="S1" s="1"/>
      <c r="T1" s="1"/>
      <c r="U1" s="1"/>
      <c r="V1" s="1"/>
      <c r="X1" s="34" t="s">
        <v>0</v>
      </c>
      <c r="Y1" s="35"/>
      <c r="Z1" s="1" t="s">
        <v>1</v>
      </c>
      <c r="AA1" s="1"/>
      <c r="AB1" s="1"/>
      <c r="AC1" s="1"/>
      <c r="AD1" s="1"/>
      <c r="AF1" s="34" t="s">
        <v>0</v>
      </c>
      <c r="AG1" s="35"/>
      <c r="AH1" s="1" t="s">
        <v>1</v>
      </c>
      <c r="AI1" s="1"/>
      <c r="AJ1" s="1"/>
      <c r="AK1" s="1"/>
      <c r="AL1" s="1"/>
    </row>
    <row r="2" spans="15:38" ht="15" customHeight="1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customHeight="1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customHeight="1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customHeight="1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customHeight="1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customHeight="1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customHeight="1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customHeight="1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customHeight="1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customHeight="1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customHeight="1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customHeight="1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customHeight="1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customHeight="1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customHeight="1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customHeight="1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thickBot="1" x14ac:dyDescent="0.4">
      <c r="P18" s="28" t="s">
        <v>31</v>
      </c>
      <c r="Q18" s="8" t="s">
        <v>46</v>
      </c>
      <c r="R18" s="21">
        <v>272.51849600000003</v>
      </c>
      <c r="S18" s="21">
        <f>R18*(33/30)</f>
        <v>299.77034560000004</v>
      </c>
      <c r="T18" s="5" t="s">
        <v>37</v>
      </c>
      <c r="U18" s="5" t="s">
        <v>43</v>
      </c>
      <c r="V18" s="5"/>
      <c r="X18" s="28" t="s">
        <v>31</v>
      </c>
      <c r="Y18" s="8" t="s">
        <v>19</v>
      </c>
      <c r="Z18" s="15">
        <v>81.690166000000005</v>
      </c>
      <c r="AA18" s="15">
        <f>Z18*(33/30)</f>
        <v>89.859182600000011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21">
        <v>52.435752000000001</v>
      </c>
      <c r="AI18" s="21">
        <f>AH18*(33/30)</f>
        <v>57.679327200000003</v>
      </c>
      <c r="AJ18" s="5" t="s">
        <v>37</v>
      </c>
      <c r="AK18" s="5" t="s">
        <v>43</v>
      </c>
      <c r="AL18" s="5"/>
    </row>
    <row r="19" spans="16:38" ht="15" thickBot="1" x14ac:dyDescent="0.4">
      <c r="P19" s="37"/>
      <c r="Q19" s="8" t="s">
        <v>47</v>
      </c>
      <c r="R19" s="15">
        <v>257.43662</v>
      </c>
      <c r="S19" s="15">
        <f>R19*(33/30)</f>
        <v>283.18028200000003</v>
      </c>
      <c r="T19" s="5"/>
      <c r="U19" s="5"/>
      <c r="V19" s="5"/>
      <c r="X19" s="37"/>
      <c r="Y19" s="8" t="s">
        <v>47</v>
      </c>
      <c r="Z19" s="15">
        <v>80.486699999999999</v>
      </c>
      <c r="AA19" s="15">
        <f>Z19*(33/30)</f>
        <v>88.53537</v>
      </c>
      <c r="AB19" s="5"/>
      <c r="AC19" s="5"/>
      <c r="AD19" s="5"/>
      <c r="AF19" s="37"/>
      <c r="AG19" s="8" t="s">
        <v>47</v>
      </c>
      <c r="AH19" s="15">
        <v>52.065058499999999</v>
      </c>
      <c r="AI19" s="15">
        <f>AH19*(33/30)</f>
        <v>57.271564350000006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257.759388</v>
      </c>
      <c r="S20" s="16">
        <f>R20*(33/30)</f>
        <v>283.53532680000001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80.939694000000003</v>
      </c>
      <c r="AA20" s="16">
        <f>Z20*(33/30)</f>
        <v>89.033663400000009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52.011187499999998</v>
      </c>
      <c r="AI20" s="16">
        <f>AH20*(33/30)</f>
        <v>57.212306250000005</v>
      </c>
      <c r="AJ20" s="12" t="s">
        <v>37</v>
      </c>
      <c r="AK20" s="5" t="s">
        <v>43</v>
      </c>
      <c r="AL20" s="5"/>
    </row>
    <row r="21" spans="16:38" ht="15" thickBot="1" x14ac:dyDescent="0.4">
      <c r="P21" s="24" t="s">
        <v>32</v>
      </c>
      <c r="Q21" s="8" t="s">
        <v>46</v>
      </c>
      <c r="R21" s="21">
        <v>95.723004000000003</v>
      </c>
      <c r="S21" s="21">
        <f t="shared" ref="S21:S36" si="0">R21*(33/30)</f>
        <v>105.29530440000001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46.638424000000001</v>
      </c>
      <c r="AA21" s="15">
        <f t="shared" ref="AA21:AA26" si="1">Z21*(33/30)</f>
        <v>51.302266400000008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21">
        <v>25.641148000000001</v>
      </c>
      <c r="AI21" s="21">
        <f t="shared" ref="AI21:AI26" si="2">AH21*(33/30)</f>
        <v>28.205262800000003</v>
      </c>
      <c r="AJ21" s="5" t="s">
        <v>37</v>
      </c>
      <c r="AK21" s="5" t="s">
        <v>43</v>
      </c>
      <c r="AL21" s="5"/>
    </row>
    <row r="22" spans="16:38" ht="15" thickBot="1" x14ac:dyDescent="0.4">
      <c r="P22" s="36"/>
      <c r="Q22" s="8" t="s">
        <v>47</v>
      </c>
      <c r="R22" s="15">
        <v>70.898492000000005</v>
      </c>
      <c r="S22" s="15">
        <f>R22*(33/30)</f>
        <v>77.988341200000008</v>
      </c>
      <c r="T22" s="5"/>
      <c r="U22" s="5"/>
      <c r="V22" s="5"/>
      <c r="X22" s="36"/>
      <c r="Y22" s="8" t="s">
        <v>47</v>
      </c>
      <c r="Z22" s="15">
        <v>34.015403999999997</v>
      </c>
      <c r="AA22" s="15">
        <f>Z22*(33/30)</f>
        <v>37.416944399999998</v>
      </c>
      <c r="AB22" s="5"/>
      <c r="AC22" s="5"/>
      <c r="AD22" s="5"/>
      <c r="AF22" s="36"/>
      <c r="AG22" s="8" t="s">
        <v>47</v>
      </c>
      <c r="AH22" s="15">
        <v>19.599053000000001</v>
      </c>
      <c r="AI22" s="15">
        <f>AH22*(33/30)</f>
        <v>21.558958300000004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71.097768000000002</v>
      </c>
      <c r="S23" s="16">
        <f t="shared" si="0"/>
        <v>78.207544800000008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36.353670000000001</v>
      </c>
      <c r="AA23" s="16">
        <f t="shared" si="1"/>
        <v>39.989037000000003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22.550618</v>
      </c>
      <c r="AI23" s="16">
        <f t="shared" si="2"/>
        <v>24.805679800000004</v>
      </c>
      <c r="AJ23" s="12" t="s">
        <v>37</v>
      </c>
      <c r="AK23" s="5" t="s">
        <v>43</v>
      </c>
      <c r="AL23" s="5"/>
    </row>
    <row r="24" spans="16:38" ht="15" thickBot="1" x14ac:dyDescent="0.4">
      <c r="P24" s="24" t="s">
        <v>33</v>
      </c>
      <c r="Q24" s="8" t="s">
        <v>46</v>
      </c>
      <c r="R24" s="21">
        <v>262.93620299999998</v>
      </c>
      <c r="S24" s="21">
        <f t="shared" si="0"/>
        <v>289.22982330000002</v>
      </c>
      <c r="T24" s="5" t="s">
        <v>37</v>
      </c>
      <c r="U24" s="5" t="s">
        <v>43</v>
      </c>
      <c r="V24" s="5"/>
      <c r="X24" s="24" t="s">
        <v>33</v>
      </c>
      <c r="Y24" s="8" t="s">
        <v>46</v>
      </c>
      <c r="Z24" s="15">
        <v>50.283734000000003</v>
      </c>
      <c r="AA24" s="15">
        <f t="shared" si="1"/>
        <v>55.312107400000009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21">
        <v>34.799298999999998</v>
      </c>
      <c r="AI24" s="21">
        <f t="shared" si="2"/>
        <v>38.2792289</v>
      </c>
      <c r="AJ24" s="5" t="s">
        <v>37</v>
      </c>
      <c r="AK24" s="5" t="s">
        <v>43</v>
      </c>
      <c r="AL24" s="5"/>
    </row>
    <row r="25" spans="16:38" ht="15" thickBot="1" x14ac:dyDescent="0.4">
      <c r="P25" s="36"/>
      <c r="Q25" s="8" t="s">
        <v>47</v>
      </c>
      <c r="R25" s="15">
        <v>184.48921200000001</v>
      </c>
      <c r="S25" s="15">
        <f>R25*(33/30)</f>
        <v>202.93813320000004</v>
      </c>
      <c r="T25" s="5"/>
      <c r="U25" s="5"/>
      <c r="V25" s="5"/>
      <c r="X25" s="36"/>
      <c r="Y25" s="8" t="s">
        <v>47</v>
      </c>
      <c r="Z25" s="15">
        <v>50.820504</v>
      </c>
      <c r="AA25" s="15">
        <f>Z25*(33/30)</f>
        <v>55.902554400000007</v>
      </c>
      <c r="AB25" s="5"/>
      <c r="AC25" s="5"/>
      <c r="AD25" s="5"/>
      <c r="AF25" s="36"/>
      <c r="AG25" s="8" t="s">
        <v>47</v>
      </c>
      <c r="AH25" s="15">
        <v>29.879916000000001</v>
      </c>
      <c r="AI25" s="15">
        <f>AH25*(33/30)</f>
        <v>32.867907600000002</v>
      </c>
      <c r="AJ25" s="5" t="s">
        <v>37</v>
      </c>
      <c r="AK25" s="5"/>
      <c r="AL25" s="5"/>
    </row>
    <row r="26" spans="16:38" ht="15" thickBot="1" x14ac:dyDescent="0.4">
      <c r="P26" s="25"/>
      <c r="Q26" s="4" t="s">
        <v>20</v>
      </c>
      <c r="R26" s="16">
        <v>184.474186</v>
      </c>
      <c r="S26" s="16">
        <f t="shared" si="0"/>
        <v>202.92160460000002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52.672068000000003</v>
      </c>
      <c r="AA26" s="16">
        <f t="shared" si="1"/>
        <v>57.939274800000007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31.6928795</v>
      </c>
      <c r="AI26" s="16">
        <f t="shared" si="2"/>
        <v>34.862167450000001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22">
        <v>257.69429100000002</v>
      </c>
      <c r="S27" s="22">
        <f>R27*(33/33)</f>
        <v>257.69429100000002</v>
      </c>
      <c r="T27" s="5" t="s">
        <v>37</v>
      </c>
      <c r="U27" s="5" t="s">
        <v>43</v>
      </c>
      <c r="V27" s="5"/>
      <c r="X27" s="26" t="s">
        <v>34</v>
      </c>
      <c r="Y27" s="27"/>
      <c r="Z27" s="22">
        <v>163.51737739999999</v>
      </c>
      <c r="AA27" s="22">
        <f>Z27*(33/33)</f>
        <v>163.51737739999999</v>
      </c>
      <c r="AB27" s="5" t="s">
        <v>37</v>
      </c>
      <c r="AC27" s="5" t="s">
        <v>43</v>
      </c>
      <c r="AD27" s="5"/>
      <c r="AF27" s="26" t="s">
        <v>34</v>
      </c>
      <c r="AG27" s="27"/>
      <c r="AH27" s="22">
        <v>142.30000000000001</v>
      </c>
      <c r="AI27" s="22">
        <f>AH27</f>
        <v>142.30000000000001</v>
      </c>
      <c r="AJ27" s="5" t="s">
        <v>37</v>
      </c>
      <c r="AK27" s="5" t="s">
        <v>43</v>
      </c>
      <c r="AL27" s="5"/>
    </row>
    <row r="28" spans="16:38" ht="15" thickBot="1" x14ac:dyDescent="0.4">
      <c r="P28" s="28" t="s">
        <v>21</v>
      </c>
      <c r="Q28" s="8" t="s">
        <v>46</v>
      </c>
      <c r="R28" s="21">
        <v>309.112144</v>
      </c>
      <c r="S28" s="21">
        <f t="shared" si="0"/>
        <v>340.02335840000001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86.452020000000005</v>
      </c>
      <c r="AA28" s="15">
        <f t="shared" ref="AA28:AA36" si="3">Z28*(33/30)</f>
        <v>95.097222000000016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21">
        <v>52.587955999999998</v>
      </c>
      <c r="AI28" s="21">
        <f t="shared" ref="AI28:AI36" si="4">AH28*(33/30)</f>
        <v>57.846751600000005</v>
      </c>
      <c r="AJ28" s="5" t="s">
        <v>37</v>
      </c>
      <c r="AK28" s="5" t="s">
        <v>43</v>
      </c>
      <c r="AL28" s="5"/>
    </row>
    <row r="29" spans="16:38" ht="15" thickBot="1" x14ac:dyDescent="0.4">
      <c r="P29" s="37"/>
      <c r="Q29" s="8" t="s">
        <v>47</v>
      </c>
      <c r="R29" s="15">
        <v>289.98902399999997</v>
      </c>
      <c r="S29" s="15">
        <f>R29*(33/30)</f>
        <v>318.98792639999999</v>
      </c>
      <c r="T29" s="5"/>
      <c r="U29" s="5"/>
      <c r="V29" s="5"/>
      <c r="X29" s="37"/>
      <c r="Y29" s="8" t="s">
        <v>47</v>
      </c>
      <c r="Z29" s="15">
        <v>85.794077999999999</v>
      </c>
      <c r="AA29" s="15">
        <f>Z29*(33/30)</f>
        <v>94.373485800000012</v>
      </c>
      <c r="AB29" s="5"/>
      <c r="AC29" s="5"/>
      <c r="AD29" s="5"/>
      <c r="AF29" s="37"/>
      <c r="AG29" s="8" t="s">
        <v>47</v>
      </c>
      <c r="AH29" s="15">
        <v>52.198680500000002</v>
      </c>
      <c r="AI29" s="15">
        <f>AH29*(33/30)</f>
        <v>57.418548550000004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290.70481999999998</v>
      </c>
      <c r="S30" s="16">
        <f t="shared" si="0"/>
        <v>319.77530200000001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86.289618000000004</v>
      </c>
      <c r="AA30" s="16">
        <f t="shared" si="3"/>
        <v>94.918579800000018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52.147449999999999</v>
      </c>
      <c r="AI30" s="16">
        <f t="shared" si="4"/>
        <v>57.362195000000007</v>
      </c>
      <c r="AJ30" s="12" t="s">
        <v>37</v>
      </c>
      <c r="AK30" s="5" t="s">
        <v>43</v>
      </c>
      <c r="AL30" s="5"/>
    </row>
    <row r="31" spans="16:38" ht="15" thickBot="1" x14ac:dyDescent="0.4">
      <c r="P31" s="28" t="s">
        <v>22</v>
      </c>
      <c r="Q31" s="8" t="s">
        <v>46</v>
      </c>
      <c r="R31" s="21">
        <v>108.30923199999999</v>
      </c>
      <c r="S31" s="21">
        <f t="shared" si="0"/>
        <v>119.14015520000001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43.454135999999998</v>
      </c>
      <c r="AA31" s="15">
        <f t="shared" si="3"/>
        <v>47.799549599999999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21">
        <v>26.026289999999999</v>
      </c>
      <c r="AI31" s="21">
        <f t="shared" si="4"/>
        <v>28.628919000000003</v>
      </c>
      <c r="AJ31" s="5" t="s">
        <v>37</v>
      </c>
      <c r="AK31" s="5" t="s">
        <v>43</v>
      </c>
      <c r="AL31" s="5"/>
    </row>
    <row r="32" spans="16:38" ht="15" thickBot="1" x14ac:dyDescent="0.4">
      <c r="P32" s="37"/>
      <c r="Q32" s="8" t="s">
        <v>47</v>
      </c>
      <c r="R32" s="15">
        <v>79.988408000000007</v>
      </c>
      <c r="S32" s="15">
        <f>R32*(33/30)</f>
        <v>87.987248800000017</v>
      </c>
      <c r="T32" s="5"/>
      <c r="U32" s="5"/>
      <c r="V32" s="5"/>
      <c r="X32" s="37"/>
      <c r="Y32" s="8" t="s">
        <v>47</v>
      </c>
      <c r="Z32" s="15">
        <v>36.454376000000003</v>
      </c>
      <c r="AA32" s="15">
        <f>Z32*(33/30)</f>
        <v>40.099813600000004</v>
      </c>
      <c r="AB32" s="5"/>
      <c r="AC32" s="5"/>
      <c r="AD32" s="5"/>
      <c r="AF32" s="37"/>
      <c r="AG32" s="8" t="s">
        <v>47</v>
      </c>
      <c r="AH32" s="15">
        <v>19.991137999999999</v>
      </c>
      <c r="AI32" s="15">
        <f>AH32*(33/30)</f>
        <v>21.990251800000003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80.254896000000002</v>
      </c>
      <c r="S33" s="16">
        <f t="shared" si="0"/>
        <v>88.280385600000017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40.341031999999998</v>
      </c>
      <c r="AA33" s="16">
        <f t="shared" si="3"/>
        <v>44.375135200000003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23.142534000000001</v>
      </c>
      <c r="AI33" s="16">
        <f t="shared" si="4"/>
        <v>25.456787400000003</v>
      </c>
      <c r="AJ33" s="12" t="s">
        <v>37</v>
      </c>
      <c r="AK33" s="5" t="s">
        <v>43</v>
      </c>
      <c r="AL33" s="5"/>
    </row>
    <row r="34" spans="15:38" ht="15" thickBot="1" x14ac:dyDescent="0.4">
      <c r="P34" s="24" t="s">
        <v>35</v>
      </c>
      <c r="Q34" s="8" t="s">
        <v>46</v>
      </c>
      <c r="R34" s="21">
        <v>294.21513750000003</v>
      </c>
      <c r="S34" s="21">
        <f t="shared" si="0"/>
        <v>323.63665125000006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59.24906</v>
      </c>
      <c r="AA34" s="15">
        <f t="shared" si="3"/>
        <v>65.173966000000007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21">
        <v>34.769156000000002</v>
      </c>
      <c r="AI34" s="21">
        <f t="shared" si="4"/>
        <v>38.246071600000008</v>
      </c>
      <c r="AJ34" s="5" t="s">
        <v>37</v>
      </c>
      <c r="AK34" s="5" t="s">
        <v>43</v>
      </c>
      <c r="AL34" s="5"/>
    </row>
    <row r="35" spans="15:38" ht="15" thickBot="1" x14ac:dyDescent="0.4">
      <c r="P35" s="36"/>
      <c r="Q35" s="8" t="s">
        <v>47</v>
      </c>
      <c r="R35" s="15">
        <v>205.848252</v>
      </c>
      <c r="S35" s="15">
        <f>R35*(33/30)</f>
        <v>226.43307720000001</v>
      </c>
      <c r="T35" s="5"/>
      <c r="U35" s="5"/>
      <c r="V35" s="5"/>
      <c r="X35" s="36"/>
      <c r="Y35" s="8" t="s">
        <v>47</v>
      </c>
      <c r="Z35" s="15">
        <v>55.394804000000001</v>
      </c>
      <c r="AA35" s="15">
        <f>Z35*(33/30)</f>
        <v>60.934284400000003</v>
      </c>
      <c r="AB35" s="5"/>
      <c r="AC35" s="5"/>
      <c r="AD35" s="5"/>
      <c r="AF35" s="36"/>
      <c r="AG35" s="8" t="s">
        <v>47</v>
      </c>
      <c r="AH35" s="15">
        <v>30.125787500000001</v>
      </c>
      <c r="AI35" s="15">
        <f>AH35*(33/30)</f>
        <v>33.138366250000004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205.86737199999999</v>
      </c>
      <c r="S36" s="16">
        <f t="shared" si="0"/>
        <v>226.4541092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57.289580000000001</v>
      </c>
      <c r="AA36" s="16">
        <f t="shared" si="3"/>
        <v>63.018538000000007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31.9484095</v>
      </c>
      <c r="AI36" s="16">
        <f t="shared" si="4"/>
        <v>35.143250450000004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22">
        <v>277.22238399999998</v>
      </c>
      <c r="S37" s="22">
        <f>R37*(33/33)</f>
        <v>277.22238399999998</v>
      </c>
      <c r="T37" s="5" t="s">
        <v>37</v>
      </c>
      <c r="U37" s="5" t="s">
        <v>43</v>
      </c>
      <c r="V37" s="5"/>
      <c r="X37" s="26" t="s">
        <v>23</v>
      </c>
      <c r="Y37" s="27"/>
      <c r="Z37" s="22">
        <v>172.1276</v>
      </c>
      <c r="AA37" s="22">
        <f>Z37*(33/33)</f>
        <v>172.1276</v>
      </c>
      <c r="AB37" s="5" t="s">
        <v>37</v>
      </c>
      <c r="AC37" s="5" t="s">
        <v>43</v>
      </c>
      <c r="AD37" s="5"/>
      <c r="AF37" s="26" t="s">
        <v>23</v>
      </c>
      <c r="AG37" s="27"/>
      <c r="AH37" s="22">
        <v>146.1</v>
      </c>
      <c r="AI37" s="22">
        <f>AH37*(33/33)</f>
        <v>146.1</v>
      </c>
      <c r="AJ37" s="5" t="s">
        <v>37</v>
      </c>
      <c r="AK37" s="5" t="s">
        <v>43</v>
      </c>
      <c r="AL37" s="5"/>
    </row>
    <row r="38" spans="15:38" x14ac:dyDescent="0.35">
      <c r="R38" s="6"/>
      <c r="S38" s="6"/>
      <c r="Z38" s="6"/>
      <c r="AA38" s="6"/>
      <c r="AH38" s="6"/>
      <c r="AI38" s="6"/>
    </row>
    <row r="39" spans="15:38" ht="15" thickBot="1" x14ac:dyDescent="0.4">
      <c r="R39" s="6"/>
      <c r="S39" s="6"/>
      <c r="Z39" s="6"/>
      <c r="AA39" s="6"/>
      <c r="AH39" s="6"/>
      <c r="AI39" s="6"/>
    </row>
    <row r="40" spans="15:38" ht="23.5" thickBot="1" x14ac:dyDescent="0.4">
      <c r="P40" s="34" t="s">
        <v>0</v>
      </c>
      <c r="Q40" s="35"/>
      <c r="R40" s="18" t="s">
        <v>1</v>
      </c>
      <c r="S40" s="18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8" t="s">
        <v>1</v>
      </c>
      <c r="AA40" s="18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8" t="s">
        <v>1</v>
      </c>
      <c r="AI40" s="18"/>
      <c r="AJ40" s="1" t="s">
        <v>25</v>
      </c>
      <c r="AK40" s="1" t="s">
        <v>26</v>
      </c>
      <c r="AL40" s="1" t="s">
        <v>27</v>
      </c>
    </row>
    <row r="41" spans="15:38" ht="15" customHeight="1" thickBot="1" x14ac:dyDescent="0.4">
      <c r="O41" s="2" t="s">
        <v>28</v>
      </c>
      <c r="P41" s="32" t="s">
        <v>3</v>
      </c>
      <c r="Q41" s="33"/>
      <c r="R41" s="19"/>
      <c r="S41" s="19"/>
      <c r="T41" s="3"/>
      <c r="U41" s="3"/>
      <c r="V41" s="3"/>
      <c r="W41" s="2" t="s">
        <v>28</v>
      </c>
      <c r="X41" s="32" t="s">
        <v>3</v>
      </c>
      <c r="Y41" s="33"/>
      <c r="Z41" s="19"/>
      <c r="AA41" s="19"/>
      <c r="AB41" s="3"/>
      <c r="AC41" s="3"/>
      <c r="AD41" s="3"/>
      <c r="AE41" s="2" t="s">
        <v>28</v>
      </c>
      <c r="AF41" s="32" t="s">
        <v>3</v>
      </c>
      <c r="AG41" s="33"/>
      <c r="AH41" s="19"/>
      <c r="AI41" s="19"/>
      <c r="AJ41" s="3"/>
      <c r="AK41" s="3"/>
      <c r="AL41" s="3"/>
    </row>
    <row r="42" spans="15:38" ht="15" customHeight="1" thickBot="1" x14ac:dyDescent="0.4">
      <c r="O42" s="6" t="s">
        <v>44</v>
      </c>
      <c r="P42" s="30" t="s">
        <v>4</v>
      </c>
      <c r="Q42" s="31"/>
      <c r="R42" s="19"/>
      <c r="S42" s="19"/>
      <c r="T42" s="3"/>
      <c r="U42" s="3"/>
      <c r="V42" s="3"/>
      <c r="W42" s="6" t="s">
        <v>30</v>
      </c>
      <c r="X42" s="30" t="s">
        <v>4</v>
      </c>
      <c r="Y42" s="31"/>
      <c r="Z42" s="19"/>
      <c r="AA42" s="19"/>
      <c r="AB42" s="3"/>
      <c r="AC42" s="3"/>
      <c r="AD42" s="3"/>
      <c r="AE42" s="6" t="s">
        <v>45</v>
      </c>
      <c r="AF42" s="30" t="s">
        <v>4</v>
      </c>
      <c r="AG42" s="31"/>
      <c r="AH42" s="19"/>
      <c r="AI42" s="19"/>
      <c r="AJ42" s="3"/>
      <c r="AK42" s="3"/>
      <c r="AL42" s="3"/>
    </row>
    <row r="43" spans="15:38" ht="15" customHeight="1" thickBot="1" x14ac:dyDescent="0.4">
      <c r="P43" s="32" t="s">
        <v>5</v>
      </c>
      <c r="Q43" s="33"/>
      <c r="R43" s="19"/>
      <c r="S43" s="19"/>
      <c r="T43" s="3"/>
      <c r="U43" s="3"/>
      <c r="V43" s="3"/>
      <c r="X43" s="32" t="s">
        <v>5</v>
      </c>
      <c r="Y43" s="33"/>
      <c r="Z43" s="19"/>
      <c r="AA43" s="19"/>
      <c r="AB43" s="3"/>
      <c r="AC43" s="3"/>
      <c r="AD43" s="3"/>
      <c r="AF43" s="32" t="s">
        <v>5</v>
      </c>
      <c r="AG43" s="33"/>
      <c r="AH43" s="19"/>
      <c r="AI43" s="19"/>
      <c r="AJ43" s="3"/>
      <c r="AK43" s="3"/>
      <c r="AL43" s="3"/>
    </row>
    <row r="44" spans="15:38" ht="15" customHeight="1" thickBot="1" x14ac:dyDescent="0.4">
      <c r="P44" s="30" t="s">
        <v>6</v>
      </c>
      <c r="Q44" s="31"/>
      <c r="R44" s="19"/>
      <c r="S44" s="19"/>
      <c r="T44" s="3"/>
      <c r="U44" s="3"/>
      <c r="V44" s="3"/>
      <c r="X44" s="30" t="s">
        <v>6</v>
      </c>
      <c r="Y44" s="31"/>
      <c r="Z44" s="19"/>
      <c r="AA44" s="19"/>
      <c r="AB44" s="3"/>
      <c r="AC44" s="3"/>
      <c r="AD44" s="3"/>
      <c r="AF44" s="30" t="s">
        <v>6</v>
      </c>
      <c r="AG44" s="31"/>
      <c r="AH44" s="19"/>
      <c r="AI44" s="19"/>
      <c r="AJ44" s="3"/>
      <c r="AK44" s="3"/>
      <c r="AL44" s="3"/>
    </row>
    <row r="45" spans="15:38" ht="15" customHeight="1" thickBot="1" x14ac:dyDescent="0.4">
      <c r="P45" s="32" t="s">
        <v>7</v>
      </c>
      <c r="Q45" s="33"/>
      <c r="R45" s="19"/>
      <c r="S45" s="19"/>
      <c r="T45" s="3"/>
      <c r="U45" s="3"/>
      <c r="V45" s="3"/>
      <c r="X45" s="32" t="s">
        <v>7</v>
      </c>
      <c r="Y45" s="33"/>
      <c r="Z45" s="19"/>
      <c r="AA45" s="19"/>
      <c r="AB45" s="3"/>
      <c r="AC45" s="3"/>
      <c r="AD45" s="3"/>
      <c r="AF45" s="32" t="s">
        <v>7</v>
      </c>
      <c r="AG45" s="33"/>
      <c r="AH45" s="19"/>
      <c r="AI45" s="19"/>
      <c r="AJ45" s="3"/>
      <c r="AK45" s="3"/>
      <c r="AL45" s="3"/>
    </row>
    <row r="46" spans="15:38" ht="15" customHeight="1" thickBot="1" x14ac:dyDescent="0.4">
      <c r="P46" s="30" t="s">
        <v>8</v>
      </c>
      <c r="Q46" s="31"/>
      <c r="R46" s="19"/>
      <c r="S46" s="19"/>
      <c r="T46" s="3"/>
      <c r="U46" s="3"/>
      <c r="V46" s="3"/>
      <c r="X46" s="30" t="s">
        <v>8</v>
      </c>
      <c r="Y46" s="31"/>
      <c r="Z46" s="19"/>
      <c r="AA46" s="19"/>
      <c r="AB46" s="3"/>
      <c r="AC46" s="3"/>
      <c r="AD46" s="3"/>
      <c r="AF46" s="30" t="s">
        <v>8</v>
      </c>
      <c r="AG46" s="31"/>
      <c r="AH46" s="19"/>
      <c r="AI46" s="19"/>
      <c r="AJ46" s="3"/>
      <c r="AK46" s="3"/>
      <c r="AL46" s="3"/>
    </row>
    <row r="47" spans="15:38" ht="15" customHeight="1" thickBot="1" x14ac:dyDescent="0.4">
      <c r="P47" s="32" t="s">
        <v>9</v>
      </c>
      <c r="Q47" s="33"/>
      <c r="R47" s="19"/>
      <c r="S47" s="19"/>
      <c r="T47" s="3"/>
      <c r="U47" s="3"/>
      <c r="V47" s="3"/>
      <c r="X47" s="32" t="s">
        <v>9</v>
      </c>
      <c r="Y47" s="33"/>
      <c r="Z47" s="19"/>
      <c r="AA47" s="19"/>
      <c r="AB47" s="3"/>
      <c r="AC47" s="3"/>
      <c r="AD47" s="3"/>
      <c r="AF47" s="32" t="s">
        <v>9</v>
      </c>
      <c r="AG47" s="33"/>
      <c r="AH47" s="19"/>
      <c r="AI47" s="19"/>
      <c r="AJ47" s="3"/>
      <c r="AK47" s="3"/>
      <c r="AL47" s="3"/>
    </row>
    <row r="48" spans="15:38" ht="15" customHeight="1" thickBot="1" x14ac:dyDescent="0.4">
      <c r="P48" s="30" t="s">
        <v>10</v>
      </c>
      <c r="Q48" s="31"/>
      <c r="R48" s="19"/>
      <c r="S48" s="19"/>
      <c r="T48" s="3"/>
      <c r="U48" s="3"/>
      <c r="V48" s="3"/>
      <c r="X48" s="30" t="s">
        <v>10</v>
      </c>
      <c r="Y48" s="31"/>
      <c r="Z48" s="19"/>
      <c r="AA48" s="19"/>
      <c r="AB48" s="3"/>
      <c r="AC48" s="3"/>
      <c r="AD48" s="3"/>
      <c r="AF48" s="30" t="s">
        <v>10</v>
      </c>
      <c r="AG48" s="31"/>
      <c r="AH48" s="19"/>
      <c r="AI48" s="19"/>
      <c r="AJ48" s="3"/>
      <c r="AK48" s="3"/>
      <c r="AL48" s="3"/>
    </row>
    <row r="49" spans="16:38" ht="15" customHeight="1" thickBot="1" x14ac:dyDescent="0.4">
      <c r="P49" s="32" t="s">
        <v>11</v>
      </c>
      <c r="Q49" s="33"/>
      <c r="R49" s="19"/>
      <c r="S49" s="19"/>
      <c r="T49" s="3"/>
      <c r="U49" s="3"/>
      <c r="V49" s="3"/>
      <c r="X49" s="32" t="s">
        <v>11</v>
      </c>
      <c r="Y49" s="33"/>
      <c r="Z49" s="19"/>
      <c r="AA49" s="19"/>
      <c r="AB49" s="3"/>
      <c r="AC49" s="3"/>
      <c r="AD49" s="3"/>
      <c r="AF49" s="32" t="s">
        <v>11</v>
      </c>
      <c r="AG49" s="33"/>
      <c r="AH49" s="19"/>
      <c r="AI49" s="19"/>
      <c r="AJ49" s="3"/>
      <c r="AK49" s="3"/>
      <c r="AL49" s="3"/>
    </row>
    <row r="50" spans="16:38" ht="15" customHeight="1" thickBot="1" x14ac:dyDescent="0.4">
      <c r="P50" s="30" t="s">
        <v>12</v>
      </c>
      <c r="Q50" s="31"/>
      <c r="R50" s="19"/>
      <c r="S50" s="19"/>
      <c r="T50" s="3"/>
      <c r="U50" s="3"/>
      <c r="V50" s="3"/>
      <c r="X50" s="30" t="s">
        <v>12</v>
      </c>
      <c r="Y50" s="31"/>
      <c r="Z50" s="19"/>
      <c r="AA50" s="19"/>
      <c r="AB50" s="3"/>
      <c r="AC50" s="3"/>
      <c r="AD50" s="3"/>
      <c r="AF50" s="30" t="s">
        <v>12</v>
      </c>
      <c r="AG50" s="31"/>
      <c r="AH50" s="19"/>
      <c r="AI50" s="19"/>
      <c r="AJ50" s="3"/>
      <c r="AK50" s="3"/>
      <c r="AL50" s="3"/>
    </row>
    <row r="51" spans="16:38" ht="15" customHeight="1" thickBot="1" x14ac:dyDescent="0.4">
      <c r="P51" s="32" t="s">
        <v>13</v>
      </c>
      <c r="Q51" s="33"/>
      <c r="R51" s="19"/>
      <c r="S51" s="19"/>
      <c r="T51" s="3"/>
      <c r="U51" s="3"/>
      <c r="V51" s="3"/>
      <c r="X51" s="32" t="s">
        <v>13</v>
      </c>
      <c r="Y51" s="33"/>
      <c r="Z51" s="19"/>
      <c r="AA51" s="19"/>
      <c r="AB51" s="3"/>
      <c r="AC51" s="3"/>
      <c r="AD51" s="3"/>
      <c r="AF51" s="32" t="s">
        <v>13</v>
      </c>
      <c r="AG51" s="33"/>
      <c r="AH51" s="19"/>
      <c r="AI51" s="19"/>
      <c r="AJ51" s="3"/>
      <c r="AK51" s="3"/>
      <c r="AL51" s="3"/>
    </row>
    <row r="52" spans="16:38" ht="15" customHeight="1" thickBot="1" x14ac:dyDescent="0.4">
      <c r="P52" s="30" t="s">
        <v>14</v>
      </c>
      <c r="Q52" s="31"/>
      <c r="R52" s="19"/>
      <c r="S52" s="19"/>
      <c r="T52" s="3"/>
      <c r="U52" s="3"/>
      <c r="V52" s="3"/>
      <c r="X52" s="30" t="s">
        <v>14</v>
      </c>
      <c r="Y52" s="31"/>
      <c r="Z52" s="19"/>
      <c r="AA52" s="19"/>
      <c r="AB52" s="3"/>
      <c r="AC52" s="3"/>
      <c r="AD52" s="3"/>
      <c r="AF52" s="30" t="s">
        <v>14</v>
      </c>
      <c r="AG52" s="31"/>
      <c r="AH52" s="19"/>
      <c r="AI52" s="19"/>
      <c r="AJ52" s="3"/>
      <c r="AK52" s="3"/>
      <c r="AL52" s="3"/>
    </row>
    <row r="53" spans="16:38" ht="15" customHeight="1" thickBot="1" x14ac:dyDescent="0.4">
      <c r="P53" s="32" t="s">
        <v>15</v>
      </c>
      <c r="Q53" s="33"/>
      <c r="R53" s="19"/>
      <c r="S53" s="19"/>
      <c r="T53" s="3"/>
      <c r="U53" s="3"/>
      <c r="V53" s="3"/>
      <c r="X53" s="32" t="s">
        <v>15</v>
      </c>
      <c r="Y53" s="33"/>
      <c r="Z53" s="19"/>
      <c r="AA53" s="19"/>
      <c r="AB53" s="3"/>
      <c r="AC53" s="3"/>
      <c r="AD53" s="3"/>
      <c r="AF53" s="32" t="s">
        <v>15</v>
      </c>
      <c r="AG53" s="33"/>
      <c r="AH53" s="19"/>
      <c r="AI53" s="19"/>
      <c r="AJ53" s="3"/>
      <c r="AK53" s="3"/>
      <c r="AL53" s="3"/>
    </row>
    <row r="54" spans="16:38" ht="15" customHeight="1" thickBot="1" x14ac:dyDescent="0.4">
      <c r="P54" s="30" t="s">
        <v>16</v>
      </c>
      <c r="Q54" s="31"/>
      <c r="R54" s="19"/>
      <c r="S54" s="19"/>
      <c r="T54" s="3"/>
      <c r="U54" s="3"/>
      <c r="V54" s="3"/>
      <c r="X54" s="30" t="s">
        <v>16</v>
      </c>
      <c r="Y54" s="31"/>
      <c r="Z54" s="19"/>
      <c r="AA54" s="19"/>
      <c r="AB54" s="3"/>
      <c r="AC54" s="3"/>
      <c r="AD54" s="3"/>
      <c r="AF54" s="30" t="s">
        <v>16</v>
      </c>
      <c r="AG54" s="31"/>
      <c r="AH54" s="19"/>
      <c r="AI54" s="19"/>
      <c r="AJ54" s="3"/>
      <c r="AK54" s="3"/>
      <c r="AL54" s="3"/>
    </row>
    <row r="55" spans="16:38" ht="15" customHeight="1" thickBot="1" x14ac:dyDescent="0.4">
      <c r="P55" s="32" t="s">
        <v>17</v>
      </c>
      <c r="Q55" s="33"/>
      <c r="R55" s="19"/>
      <c r="S55" s="19"/>
      <c r="T55" s="3"/>
      <c r="U55" s="3"/>
      <c r="V55" s="3"/>
      <c r="X55" s="32" t="s">
        <v>17</v>
      </c>
      <c r="Y55" s="33"/>
      <c r="Z55" s="19"/>
      <c r="AA55" s="19"/>
      <c r="AB55" s="3"/>
      <c r="AC55" s="3"/>
      <c r="AD55" s="3"/>
      <c r="AF55" s="32" t="s">
        <v>17</v>
      </c>
      <c r="AG55" s="33"/>
      <c r="AH55" s="19"/>
      <c r="AI55" s="19"/>
      <c r="AJ55" s="3"/>
      <c r="AK55" s="3"/>
      <c r="AL55" s="3"/>
    </row>
    <row r="56" spans="16:38" ht="15" customHeight="1" thickBot="1" x14ac:dyDescent="0.4">
      <c r="P56" s="30" t="s">
        <v>18</v>
      </c>
      <c r="Q56" s="31"/>
      <c r="R56" s="19"/>
      <c r="S56" s="19"/>
      <c r="T56" s="3"/>
      <c r="U56" s="3"/>
      <c r="V56" s="3"/>
      <c r="X56" s="30" t="s">
        <v>18</v>
      </c>
      <c r="Y56" s="31"/>
      <c r="Z56" s="19"/>
      <c r="AA56" s="19"/>
      <c r="AB56" s="3"/>
      <c r="AC56" s="3"/>
      <c r="AD56" s="3"/>
      <c r="AF56" s="30" t="s">
        <v>18</v>
      </c>
      <c r="AG56" s="31"/>
      <c r="AH56" s="19"/>
      <c r="AI56" s="19"/>
      <c r="AJ56" s="3"/>
      <c r="AK56" s="3"/>
      <c r="AL56" s="3"/>
    </row>
    <row r="57" spans="16:38" ht="21.75" customHeight="1" thickBot="1" x14ac:dyDescent="0.4">
      <c r="P57" s="28" t="s">
        <v>31</v>
      </c>
      <c r="Q57" s="8" t="s">
        <v>46</v>
      </c>
      <c r="R57" s="15">
        <v>288.35798299999999</v>
      </c>
      <c r="S57" s="15">
        <f>R57*(36/33)</f>
        <v>314.57234509090904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59.200968000000003</v>
      </c>
      <c r="AA57" s="15">
        <f>Z57*(36/33)</f>
        <v>64.582874181818184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51.900745100000002</v>
      </c>
      <c r="AI57" s="15">
        <f>AH57*(36/33)</f>
        <v>56.618994654545453</v>
      </c>
      <c r="AJ57" s="3" t="s">
        <v>37</v>
      </c>
      <c r="AK57" s="3" t="s">
        <v>43</v>
      </c>
      <c r="AL57" s="3"/>
    </row>
    <row r="58" spans="16:38" ht="21.75" customHeight="1" thickBot="1" x14ac:dyDescent="0.4">
      <c r="P58" s="37"/>
      <c r="Q58" s="8" t="s">
        <v>47</v>
      </c>
      <c r="R58" s="15">
        <v>256.57844799999998</v>
      </c>
      <c r="S58" s="15">
        <f>R58*(36/33)</f>
        <v>279.90376145454542</v>
      </c>
      <c r="T58" s="3"/>
      <c r="U58" s="3"/>
      <c r="V58" s="3"/>
      <c r="X58" s="37"/>
      <c r="Y58" s="8" t="s">
        <v>47</v>
      </c>
      <c r="Z58" s="15">
        <v>60.086615999999999</v>
      </c>
      <c r="AA58" s="15">
        <f>Z58*(33/30)</f>
        <v>66.095277600000003</v>
      </c>
      <c r="AB58" s="3"/>
      <c r="AC58" s="3"/>
      <c r="AD58" s="3"/>
      <c r="AF58" s="37"/>
      <c r="AG58" s="8" t="s">
        <v>47</v>
      </c>
      <c r="AH58" s="15">
        <v>50.552838299999998</v>
      </c>
      <c r="AI58" s="15">
        <f>AH58*(33/30)</f>
        <v>55.608122130000005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261.72263600000002</v>
      </c>
      <c r="S59" s="16">
        <f t="shared" ref="S59:S75" si="5">R59*(36/33)</f>
        <v>285.51560290909089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60.456288000000001</v>
      </c>
      <c r="AA59" s="16">
        <f t="shared" ref="AA59:AA65" si="6">Z59*(36/33)</f>
        <v>65.952314181818181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51.965752500000001</v>
      </c>
      <c r="AI59" s="16">
        <f t="shared" ref="AI59:AI65" si="7">AH59*(36/33)</f>
        <v>56.689911818181812</v>
      </c>
      <c r="AJ59" s="13" t="s">
        <v>37</v>
      </c>
      <c r="AK59" s="3" t="s">
        <v>43</v>
      </c>
      <c r="AL59" s="3"/>
    </row>
    <row r="60" spans="16:38" ht="23.25" customHeight="1" thickBot="1" x14ac:dyDescent="0.4">
      <c r="P60" s="24" t="s">
        <v>32</v>
      </c>
      <c r="Q60" s="8" t="s">
        <v>46</v>
      </c>
      <c r="R60" s="15">
        <v>82.188000000000002</v>
      </c>
      <c r="S60" s="15">
        <f t="shared" si="5"/>
        <v>89.659636363636366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40.454051999999997</v>
      </c>
      <c r="AA60" s="15">
        <f t="shared" si="6"/>
        <v>44.131693090909081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26.972586</v>
      </c>
      <c r="AI60" s="15">
        <f t="shared" si="7"/>
        <v>29.424639272727269</v>
      </c>
      <c r="AJ60" s="3" t="s">
        <v>37</v>
      </c>
      <c r="AK60" s="3" t="s">
        <v>43</v>
      </c>
      <c r="AL60" s="3"/>
    </row>
    <row r="61" spans="16:38" ht="24.75" customHeight="1" thickBot="1" x14ac:dyDescent="0.4">
      <c r="P61" s="36"/>
      <c r="Q61" s="8" t="s">
        <v>47</v>
      </c>
      <c r="R61" s="15">
        <v>49.996639999999999</v>
      </c>
      <c r="S61" s="15">
        <f>R61*(36/33)</f>
        <v>54.541789090909084</v>
      </c>
      <c r="T61" s="3"/>
      <c r="U61" s="3"/>
      <c r="V61" s="3"/>
      <c r="X61" s="36"/>
      <c r="Y61" s="8" t="s">
        <v>47</v>
      </c>
      <c r="Z61" s="15">
        <v>38.779375999999999</v>
      </c>
      <c r="AA61" s="15">
        <f>Z61*(33/30)</f>
        <v>42.657313600000002</v>
      </c>
      <c r="AB61" s="3"/>
      <c r="AC61" s="3"/>
      <c r="AD61" s="3"/>
      <c r="AF61" s="36"/>
      <c r="AG61" s="8" t="s">
        <v>47</v>
      </c>
      <c r="AH61" s="15">
        <v>27.214580000000002</v>
      </c>
      <c r="AI61" s="15">
        <f>AH61*(33/30)</f>
        <v>29.936038000000003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51.350127999999998</v>
      </c>
      <c r="S62" s="16">
        <f t="shared" si="5"/>
        <v>56.01832145454545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38.897607999999998</v>
      </c>
      <c r="AA62" s="16">
        <f t="shared" si="6"/>
        <v>42.433754181818173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26.533467999999999</v>
      </c>
      <c r="AI62" s="16">
        <f t="shared" si="7"/>
        <v>28.94560145454545</v>
      </c>
      <c r="AJ62" s="13" t="s">
        <v>37</v>
      </c>
      <c r="AK62" s="3" t="s">
        <v>43</v>
      </c>
      <c r="AL62" s="3"/>
    </row>
    <row r="63" spans="16:38" ht="15" thickBot="1" x14ac:dyDescent="0.4">
      <c r="P63" s="24" t="s">
        <v>33</v>
      </c>
      <c r="Q63" s="8" t="s">
        <v>46</v>
      </c>
      <c r="R63" s="15">
        <v>212.38643200000001</v>
      </c>
      <c r="S63" s="15">
        <f t="shared" si="5"/>
        <v>231.69428945454544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42.339199999999998</v>
      </c>
      <c r="AA63" s="15">
        <f t="shared" si="6"/>
        <v>46.188218181818179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36.642259000000003</v>
      </c>
      <c r="AI63" s="15">
        <f t="shared" si="7"/>
        <v>39.973373454545452</v>
      </c>
      <c r="AJ63" s="3" t="s">
        <v>37</v>
      </c>
      <c r="AK63" s="3" t="s">
        <v>43</v>
      </c>
      <c r="AL63" s="3"/>
    </row>
    <row r="64" spans="16:38" ht="15" thickBot="1" x14ac:dyDescent="0.4">
      <c r="P64" s="36"/>
      <c r="Q64" s="8" t="s">
        <v>47</v>
      </c>
      <c r="R64" s="16">
        <v>214.47534400000001</v>
      </c>
      <c r="S64" s="16">
        <f>R64*(36/33)</f>
        <v>233.97310254545454</v>
      </c>
      <c r="T64" s="3"/>
      <c r="U64" s="3"/>
      <c r="V64" s="3"/>
      <c r="X64" s="36"/>
      <c r="Y64" s="8" t="s">
        <v>47</v>
      </c>
      <c r="Z64" s="15">
        <v>45.432935999999998</v>
      </c>
      <c r="AA64" s="15">
        <f>Z64*(33/30)</f>
        <v>49.976229600000003</v>
      </c>
      <c r="AB64" s="3"/>
      <c r="AC64" s="3"/>
      <c r="AD64" s="3"/>
      <c r="AF64" s="36"/>
      <c r="AG64" s="8" t="s">
        <v>47</v>
      </c>
      <c r="AH64" s="15">
        <v>35.802581500000002</v>
      </c>
      <c r="AI64" s="15">
        <f>AH64*(33/30)</f>
        <v>39.382839650000008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219.54096799999999</v>
      </c>
      <c r="S65" s="16">
        <f t="shared" si="5"/>
        <v>239.4992378181818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44.866036000000001</v>
      </c>
      <c r="AA65" s="16">
        <f t="shared" si="6"/>
        <v>48.944766545454542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39.893005500000001</v>
      </c>
      <c r="AI65" s="16">
        <f t="shared" si="7"/>
        <v>43.519642363636365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22">
        <v>295.08973800000001</v>
      </c>
      <c r="S66" s="22">
        <f>R66*(36/36)</f>
        <v>295.08973800000001</v>
      </c>
      <c r="T66" s="3" t="s">
        <v>37</v>
      </c>
      <c r="U66" s="3" t="s">
        <v>43</v>
      </c>
      <c r="V66" s="3"/>
      <c r="X66" s="26" t="s">
        <v>34</v>
      </c>
      <c r="Y66" s="27"/>
      <c r="Z66" s="22">
        <v>189.05129399999998</v>
      </c>
      <c r="AA66" s="22">
        <f>Z66*(36/36)</f>
        <v>189.05129399999998</v>
      </c>
      <c r="AB66" s="3" t="s">
        <v>37</v>
      </c>
      <c r="AC66" s="3" t="s">
        <v>43</v>
      </c>
      <c r="AD66" s="3"/>
      <c r="AF66" s="26" t="s">
        <v>34</v>
      </c>
      <c r="AG66" s="27"/>
      <c r="AH66" s="22">
        <v>139.4</v>
      </c>
      <c r="AI66" s="22">
        <f>AH66*(36/36)</f>
        <v>139.4</v>
      </c>
      <c r="AJ66" s="3" t="s">
        <v>37</v>
      </c>
      <c r="AK66" s="3" t="s">
        <v>43</v>
      </c>
      <c r="AL66" s="3"/>
    </row>
    <row r="67" spans="16:38" ht="15" thickBot="1" x14ac:dyDescent="0.4">
      <c r="P67" s="28" t="s">
        <v>21</v>
      </c>
      <c r="Q67" s="8" t="s">
        <v>46</v>
      </c>
      <c r="R67" s="15">
        <v>323.25397500000003</v>
      </c>
      <c r="S67" s="15">
        <f t="shared" si="5"/>
        <v>352.64069999999998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61.687144000000004</v>
      </c>
      <c r="AA67" s="15">
        <f t="shared" ref="AA67:AA75" si="8">Z67*(36/33)</f>
        <v>67.295066181818186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21">
        <v>52.150188200000002</v>
      </c>
      <c r="AI67" s="21">
        <f>AH67*(36/33)</f>
        <v>56.891114399999999</v>
      </c>
      <c r="AJ67" s="3" t="s">
        <v>37</v>
      </c>
      <c r="AK67" s="3" t="s">
        <v>43</v>
      </c>
      <c r="AL67" s="3"/>
    </row>
    <row r="68" spans="16:38" ht="15" thickBot="1" x14ac:dyDescent="0.4">
      <c r="P68" s="37"/>
      <c r="Q68" s="8" t="s">
        <v>47</v>
      </c>
      <c r="R68" s="15">
        <v>287.88623200000001</v>
      </c>
      <c r="S68" s="15">
        <f>R68*(36/33)</f>
        <v>314.0577076363636</v>
      </c>
      <c r="T68" s="3"/>
      <c r="U68" s="3"/>
      <c r="V68" s="3"/>
      <c r="X68" s="37"/>
      <c r="Y68" s="8" t="s">
        <v>47</v>
      </c>
      <c r="Z68" s="15">
        <v>62.589855999999997</v>
      </c>
      <c r="AA68" s="15">
        <f>Z68*(33/30)</f>
        <v>68.8488416</v>
      </c>
      <c r="AB68" s="3"/>
      <c r="AC68" s="3"/>
      <c r="AD68" s="3"/>
      <c r="AF68" s="37"/>
      <c r="AG68" s="8" t="s">
        <v>47</v>
      </c>
      <c r="AH68" s="21">
        <v>50.798014700000003</v>
      </c>
      <c r="AI68" s="21">
        <f>AH68*(33/30)</f>
        <v>55.87781617000001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293.33839999999998</v>
      </c>
      <c r="S69" s="16">
        <f t="shared" si="5"/>
        <v>320.00552727272725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62.990631999999998</v>
      </c>
      <c r="AA69" s="16">
        <f t="shared" si="8"/>
        <v>68.71705309090909</v>
      </c>
      <c r="AB69" s="13" t="s">
        <v>37</v>
      </c>
      <c r="AC69" s="3" t="s">
        <v>43</v>
      </c>
      <c r="AD69" s="3"/>
      <c r="AF69" s="29"/>
      <c r="AG69" s="4" t="s">
        <v>20</v>
      </c>
      <c r="AH69" s="23">
        <v>52.218535099999997</v>
      </c>
      <c r="AI69" s="23">
        <f t="shared" ref="AI69:AI75" si="9">AH69*(36/33)</f>
        <v>56.965674654545445</v>
      </c>
      <c r="AJ69" s="13" t="s">
        <v>37</v>
      </c>
      <c r="AK69" s="3" t="s">
        <v>43</v>
      </c>
      <c r="AL69" s="3"/>
    </row>
    <row r="70" spans="16:38" ht="15" thickBot="1" x14ac:dyDescent="0.4">
      <c r="P70" s="28" t="s">
        <v>22</v>
      </c>
      <c r="Q70" s="8" t="s">
        <v>46</v>
      </c>
      <c r="R70" s="15">
        <v>92.367903999999996</v>
      </c>
      <c r="S70" s="15">
        <f t="shared" si="5"/>
        <v>100.76498618181817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37.953764</v>
      </c>
      <c r="AA70" s="15">
        <f t="shared" si="8"/>
        <v>41.404106181818179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21">
        <v>26.337492000000001</v>
      </c>
      <c r="AI70" s="21">
        <f t="shared" si="9"/>
        <v>28.731809454545452</v>
      </c>
      <c r="AJ70" s="3" t="s">
        <v>37</v>
      </c>
      <c r="AK70" s="3" t="s">
        <v>43</v>
      </c>
      <c r="AL70" s="3"/>
    </row>
    <row r="71" spans="16:38" ht="15" thickBot="1" x14ac:dyDescent="0.4">
      <c r="P71" s="37"/>
      <c r="Q71" s="8" t="s">
        <v>47</v>
      </c>
      <c r="R71" s="15">
        <v>55.786320000000003</v>
      </c>
      <c r="S71" s="15">
        <f>R71*(36/33)</f>
        <v>60.857803636363634</v>
      </c>
      <c r="T71" s="3"/>
      <c r="U71" s="3"/>
      <c r="V71" s="3"/>
      <c r="X71" s="37"/>
      <c r="Y71" s="8" t="s">
        <v>47</v>
      </c>
      <c r="Z71" s="15">
        <v>41.249907999999998</v>
      </c>
      <c r="AA71" s="15">
        <f>Z71*(33/30)</f>
        <v>45.374898800000004</v>
      </c>
      <c r="AB71" s="3"/>
      <c r="AC71" s="3"/>
      <c r="AD71" s="3"/>
      <c r="AF71" s="37"/>
      <c r="AG71" s="8" t="s">
        <v>47</v>
      </c>
      <c r="AH71" s="21">
        <v>28.110828000000001</v>
      </c>
      <c r="AI71" s="21">
        <f>AH71*(33/30)</f>
        <v>30.921910800000003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57.256328000000003</v>
      </c>
      <c r="S72" s="16">
        <f t="shared" si="5"/>
        <v>62.461448727272725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41.405487999999998</v>
      </c>
      <c r="AA72" s="16">
        <f t="shared" si="8"/>
        <v>45.169623272727264</v>
      </c>
      <c r="AB72" s="13" t="s">
        <v>37</v>
      </c>
      <c r="AC72" s="3" t="s">
        <v>43</v>
      </c>
      <c r="AD72" s="3"/>
      <c r="AF72" s="29"/>
      <c r="AG72" s="4" t="s">
        <v>20</v>
      </c>
      <c r="AH72" s="23">
        <v>27.449956</v>
      </c>
      <c r="AI72" s="23">
        <f t="shared" si="9"/>
        <v>29.945406545454542</v>
      </c>
      <c r="AJ72" s="13" t="s">
        <v>37</v>
      </c>
      <c r="AK72" s="3" t="s">
        <v>43</v>
      </c>
      <c r="AL72" s="3"/>
    </row>
    <row r="73" spans="16:38" ht="15" thickBot="1" x14ac:dyDescent="0.4">
      <c r="P73" s="24" t="s">
        <v>35</v>
      </c>
      <c r="Q73" s="8" t="s">
        <v>46</v>
      </c>
      <c r="R73" s="15">
        <v>237.90601599999999</v>
      </c>
      <c r="S73" s="15">
        <f t="shared" si="5"/>
        <v>259.53383563636362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38.940151999999998</v>
      </c>
      <c r="AA73" s="15">
        <f t="shared" si="8"/>
        <v>42.48016581818181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21">
        <v>36.793350500000003</v>
      </c>
      <c r="AI73" s="21">
        <f t="shared" si="9"/>
        <v>40.138200545454545</v>
      </c>
      <c r="AJ73" s="3" t="s">
        <v>37</v>
      </c>
      <c r="AK73" s="3" t="s">
        <v>43</v>
      </c>
      <c r="AL73" s="3"/>
    </row>
    <row r="74" spans="16:38" ht="15" thickBot="1" x14ac:dyDescent="0.4">
      <c r="P74" s="36"/>
      <c r="Q74" s="8" t="s">
        <v>47</v>
      </c>
      <c r="R74" s="15">
        <v>240.574352</v>
      </c>
      <c r="S74" s="15">
        <f>R74*(36/33)</f>
        <v>262.44474763636362</v>
      </c>
      <c r="T74" s="3"/>
      <c r="U74" s="3"/>
      <c r="V74" s="3"/>
      <c r="X74" s="36"/>
      <c r="Y74" s="8" t="s">
        <v>47</v>
      </c>
      <c r="Z74" s="15">
        <v>48.844028000000002</v>
      </c>
      <c r="AA74" s="15">
        <f>Z74*(33/30)</f>
        <v>53.728430800000005</v>
      </c>
      <c r="AB74" s="3"/>
      <c r="AC74" s="3"/>
      <c r="AD74" s="3"/>
      <c r="AF74" s="36"/>
      <c r="AG74" s="8" t="s">
        <v>47</v>
      </c>
      <c r="AH74" s="21">
        <v>35.894967000000001</v>
      </c>
      <c r="AI74" s="21">
        <f>AH74*(33/30)</f>
        <v>39.484463700000006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246.13828000000001</v>
      </c>
      <c r="S75" s="16">
        <f t="shared" si="5"/>
        <v>268.51448727272725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48.323403999999996</v>
      </c>
      <c r="AA75" s="16">
        <f t="shared" si="8"/>
        <v>52.716440727272719</v>
      </c>
      <c r="AB75" s="13" t="s">
        <v>37</v>
      </c>
      <c r="AC75" s="3" t="s">
        <v>43</v>
      </c>
      <c r="AD75" s="3"/>
      <c r="AF75" s="25"/>
      <c r="AG75" s="4" t="s">
        <v>20</v>
      </c>
      <c r="AH75" s="23">
        <v>40.056729500000003</v>
      </c>
      <c r="AI75" s="23">
        <f t="shared" si="9"/>
        <v>43.698250363636362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22">
        <v>315.70313599999997</v>
      </c>
      <c r="S76" s="22">
        <f>R76*(36/36)</f>
        <v>315.70313599999997</v>
      </c>
      <c r="T76" s="3" t="s">
        <v>37</v>
      </c>
      <c r="U76" s="3" t="s">
        <v>43</v>
      </c>
      <c r="V76" s="3"/>
      <c r="X76" s="26" t="s">
        <v>23</v>
      </c>
      <c r="Y76" s="27"/>
      <c r="Z76" s="22">
        <v>198.49409399999999</v>
      </c>
      <c r="AA76" s="22">
        <f>Z76*(36/36)</f>
        <v>198.49409399999999</v>
      </c>
      <c r="AB76" s="3" t="s">
        <v>37</v>
      </c>
      <c r="AC76" s="3" t="s">
        <v>43</v>
      </c>
      <c r="AD76" s="3"/>
      <c r="AF76" s="26" t="s">
        <v>23</v>
      </c>
      <c r="AG76" s="27"/>
      <c r="AH76" s="22">
        <v>140.80000000000001</v>
      </c>
      <c r="AI76" s="22">
        <f>AH76*(36/36)</f>
        <v>140.80000000000001</v>
      </c>
      <c r="AJ76" s="3" t="s">
        <v>37</v>
      </c>
      <c r="AK76" s="3" t="s">
        <v>43</v>
      </c>
      <c r="AL76" s="3"/>
    </row>
  </sheetData>
  <mergeCells count="150">
    <mergeCell ref="AF66:AG66"/>
    <mergeCell ref="AF67:AF69"/>
    <mergeCell ref="AF70:AF72"/>
    <mergeCell ref="AF73:AF75"/>
    <mergeCell ref="AF76:AG76"/>
    <mergeCell ref="AF55:AG55"/>
    <mergeCell ref="AF56:AG56"/>
    <mergeCell ref="AF57:AF59"/>
    <mergeCell ref="AF60:AF62"/>
    <mergeCell ref="AF63:AF65"/>
    <mergeCell ref="AF50:AG50"/>
    <mergeCell ref="AF51:AG51"/>
    <mergeCell ref="AF52:AG52"/>
    <mergeCell ref="AF53:AG53"/>
    <mergeCell ref="AF54:AG54"/>
    <mergeCell ref="AF45:AG45"/>
    <mergeCell ref="AF46:AG46"/>
    <mergeCell ref="AF47:AG47"/>
    <mergeCell ref="AF48:AG48"/>
    <mergeCell ref="AF49:AG49"/>
    <mergeCell ref="AF40:AG40"/>
    <mergeCell ref="AF41:AG41"/>
    <mergeCell ref="AF42:AG42"/>
    <mergeCell ref="AF43:AG43"/>
    <mergeCell ref="AF44:AG44"/>
    <mergeCell ref="AF27:AG27"/>
    <mergeCell ref="AF28:AF30"/>
    <mergeCell ref="AF31:AF33"/>
    <mergeCell ref="AF34:AF36"/>
    <mergeCell ref="AF37:AG37"/>
    <mergeCell ref="AF16:AG16"/>
    <mergeCell ref="AF17:AG17"/>
    <mergeCell ref="AF18:AF20"/>
    <mergeCell ref="AF21:AF23"/>
    <mergeCell ref="AF24:AF26"/>
    <mergeCell ref="AF11:AG11"/>
    <mergeCell ref="AF12:AG12"/>
    <mergeCell ref="AF13:AG13"/>
    <mergeCell ref="AF14:AG14"/>
    <mergeCell ref="AF15:AG15"/>
    <mergeCell ref="AF6:AG6"/>
    <mergeCell ref="AF7:AG7"/>
    <mergeCell ref="AF8:AG8"/>
    <mergeCell ref="AF9:AG9"/>
    <mergeCell ref="AF10:AG10"/>
    <mergeCell ref="AF1:AG1"/>
    <mergeCell ref="AF2:AG2"/>
    <mergeCell ref="AF3:AG3"/>
    <mergeCell ref="AF4:AG4"/>
    <mergeCell ref="AF5:AG5"/>
    <mergeCell ref="X66:Y66"/>
    <mergeCell ref="X67:X69"/>
    <mergeCell ref="X70:X72"/>
    <mergeCell ref="X73:X75"/>
    <mergeCell ref="X76:Y76"/>
    <mergeCell ref="X55:Y55"/>
    <mergeCell ref="X56:Y56"/>
    <mergeCell ref="X57:X59"/>
    <mergeCell ref="X60:X62"/>
    <mergeCell ref="X63:X65"/>
    <mergeCell ref="X50:Y50"/>
    <mergeCell ref="X51:Y51"/>
    <mergeCell ref="X52:Y52"/>
    <mergeCell ref="X53:Y53"/>
    <mergeCell ref="X54:Y54"/>
    <mergeCell ref="X45:Y45"/>
    <mergeCell ref="X46:Y46"/>
    <mergeCell ref="X47:Y47"/>
    <mergeCell ref="X48:Y48"/>
    <mergeCell ref="X49:Y49"/>
    <mergeCell ref="X40:Y40"/>
    <mergeCell ref="X41:Y41"/>
    <mergeCell ref="X42:Y42"/>
    <mergeCell ref="X43:Y43"/>
    <mergeCell ref="X44:Y44"/>
    <mergeCell ref="X27:Y27"/>
    <mergeCell ref="X28:X30"/>
    <mergeCell ref="X31:X33"/>
    <mergeCell ref="X34:X36"/>
    <mergeCell ref="X37:Y37"/>
    <mergeCell ref="X16:Y16"/>
    <mergeCell ref="X17:Y17"/>
    <mergeCell ref="X18:X20"/>
    <mergeCell ref="X21:X23"/>
    <mergeCell ref="X24:X26"/>
    <mergeCell ref="X11:Y11"/>
    <mergeCell ref="X12:Y12"/>
    <mergeCell ref="X13:Y13"/>
    <mergeCell ref="X14:Y14"/>
    <mergeCell ref="X15:Y15"/>
    <mergeCell ref="X6:Y6"/>
    <mergeCell ref="X7:Y7"/>
    <mergeCell ref="X8:Y8"/>
    <mergeCell ref="X9:Y9"/>
    <mergeCell ref="X10:Y10"/>
    <mergeCell ref="X1:Y1"/>
    <mergeCell ref="X2:Y2"/>
    <mergeCell ref="X3:Y3"/>
    <mergeCell ref="X4:Y4"/>
    <mergeCell ref="X5:Y5"/>
    <mergeCell ref="P6:Q6"/>
    <mergeCell ref="P1:Q1"/>
    <mergeCell ref="P2:Q2"/>
    <mergeCell ref="P3:Q3"/>
    <mergeCell ref="P4:Q4"/>
    <mergeCell ref="P5:Q5"/>
    <mergeCell ref="P18:P20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54:Q54"/>
    <mergeCell ref="P55:Q55"/>
    <mergeCell ref="P44:Q44"/>
    <mergeCell ref="P21:P23"/>
    <mergeCell ref="P24:P26"/>
    <mergeCell ref="P27:Q27"/>
    <mergeCell ref="P28:P30"/>
    <mergeCell ref="P31:P33"/>
    <mergeCell ref="P34:P36"/>
    <mergeCell ref="P37:Q37"/>
    <mergeCell ref="P40:Q40"/>
    <mergeCell ref="P41:Q41"/>
    <mergeCell ref="P42:Q42"/>
    <mergeCell ref="P43:Q43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73:P75"/>
    <mergeCell ref="P76:Q76"/>
    <mergeCell ref="P57:P59"/>
    <mergeCell ref="P60:P62"/>
    <mergeCell ref="P63:P65"/>
    <mergeCell ref="P66:Q66"/>
    <mergeCell ref="P67:P69"/>
    <mergeCell ref="P70:P72"/>
    <mergeCell ref="P56:Q56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77A5-97AF-43E9-9EC4-E022D7E50ECB}">
  <sheetPr>
    <tabColor theme="8" tint="0.79998168889431442"/>
  </sheetPr>
  <dimension ref="O1:AL76"/>
  <sheetViews>
    <sheetView workbookViewId="0">
      <selection sqref="A1:N104857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5" max="15" width="7.81640625" bestFit="1" customWidth="1"/>
    <col min="16" max="16" width="27.81640625" customWidth="1"/>
    <col min="17" max="17" width="17.7265625" customWidth="1"/>
    <col min="18" max="18" width="11.54296875" bestFit="1" customWidth="1"/>
    <col min="24" max="24" width="26.1796875" customWidth="1"/>
    <col min="25" max="25" width="19.1796875" customWidth="1"/>
    <col min="26" max="26" width="11.54296875" bestFit="1" customWidth="1"/>
    <col min="32" max="32" width="26.1796875" customWidth="1"/>
    <col min="33" max="33" width="17.542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1</v>
      </c>
      <c r="S1" s="1"/>
      <c r="T1" s="1"/>
      <c r="U1" s="1"/>
      <c r="V1" s="1"/>
      <c r="X1" s="34" t="s">
        <v>0</v>
      </c>
      <c r="Y1" s="35"/>
      <c r="Z1" s="1" t="s">
        <v>1</v>
      </c>
      <c r="AA1" s="1"/>
      <c r="AB1" s="1"/>
      <c r="AC1" s="1"/>
      <c r="AD1" s="1"/>
      <c r="AF1" s="34" t="s">
        <v>0</v>
      </c>
      <c r="AG1" s="35"/>
      <c r="AH1" s="1" t="s">
        <v>1</v>
      </c>
      <c r="AI1" s="1"/>
      <c r="AJ1" s="1"/>
      <c r="AK1" s="1"/>
      <c r="AL1" s="1"/>
    </row>
    <row r="2" spans="15:38" ht="15" customHeight="1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customHeight="1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customHeight="1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customHeight="1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customHeight="1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customHeight="1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customHeight="1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customHeight="1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customHeight="1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customHeight="1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customHeight="1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customHeight="1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customHeight="1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customHeight="1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customHeight="1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customHeight="1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thickBot="1" x14ac:dyDescent="0.4">
      <c r="P18" s="28" t="s">
        <v>31</v>
      </c>
      <c r="Q18" s="8" t="s">
        <v>46</v>
      </c>
      <c r="R18" s="21"/>
      <c r="S18" s="21">
        <f>R18*(33/30)</f>
        <v>0</v>
      </c>
      <c r="T18" s="5" t="s">
        <v>37</v>
      </c>
      <c r="U18" s="5" t="s">
        <v>43</v>
      </c>
      <c r="V18" s="5"/>
      <c r="X18" s="28" t="s">
        <v>31</v>
      </c>
      <c r="Y18" s="8" t="s">
        <v>19</v>
      </c>
      <c r="Z18" s="15"/>
      <c r="AA18" s="15">
        <f>Z18*(33/30)</f>
        <v>0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21"/>
      <c r="AI18" s="21">
        <f>AH18*(33/30)</f>
        <v>0</v>
      </c>
      <c r="AJ18" s="5" t="s">
        <v>37</v>
      </c>
      <c r="AK18" s="5" t="s">
        <v>43</v>
      </c>
      <c r="AL18" s="5"/>
    </row>
    <row r="19" spans="16:38" ht="15" thickBot="1" x14ac:dyDescent="0.4">
      <c r="P19" s="37"/>
      <c r="Q19" s="8" t="s">
        <v>47</v>
      </c>
      <c r="R19" s="15"/>
      <c r="S19" s="15">
        <f>R19*(33/30)</f>
        <v>0</v>
      </c>
      <c r="T19" s="5"/>
      <c r="U19" s="5"/>
      <c r="V19" s="5"/>
      <c r="X19" s="37"/>
      <c r="Y19" s="8" t="s">
        <v>47</v>
      </c>
      <c r="Z19" s="15"/>
      <c r="AA19" s="15">
        <f>Z19*(33/30)</f>
        <v>0</v>
      </c>
      <c r="AB19" s="5"/>
      <c r="AC19" s="5"/>
      <c r="AD19" s="5"/>
      <c r="AF19" s="37"/>
      <c r="AG19" s="8" t="s">
        <v>47</v>
      </c>
      <c r="AH19" s="15"/>
      <c r="AI19" s="15">
        <f>AH19*(33/30)</f>
        <v>0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/>
      <c r="S20" s="16">
        <f>R20*(33/30)</f>
        <v>0</v>
      </c>
      <c r="T20" s="12" t="s">
        <v>37</v>
      </c>
      <c r="U20" s="5" t="s">
        <v>43</v>
      </c>
      <c r="V20" s="5"/>
      <c r="X20" s="29"/>
      <c r="Y20" s="4" t="s">
        <v>20</v>
      </c>
      <c r="Z20" s="16"/>
      <c r="AA20" s="16">
        <f>Z20*(33/30)</f>
        <v>0</v>
      </c>
      <c r="AB20" s="12" t="s">
        <v>37</v>
      </c>
      <c r="AC20" s="5" t="s">
        <v>43</v>
      </c>
      <c r="AD20" s="5"/>
      <c r="AF20" s="29"/>
      <c r="AG20" s="4" t="s">
        <v>20</v>
      </c>
      <c r="AH20" s="16"/>
      <c r="AI20" s="16">
        <f>AH20*(33/30)</f>
        <v>0</v>
      </c>
      <c r="AJ20" s="12" t="s">
        <v>37</v>
      </c>
      <c r="AK20" s="5" t="s">
        <v>43</v>
      </c>
      <c r="AL20" s="5"/>
    </row>
    <row r="21" spans="16:38" ht="15" thickBot="1" x14ac:dyDescent="0.4">
      <c r="P21" s="24" t="s">
        <v>32</v>
      </c>
      <c r="Q21" s="8" t="s">
        <v>46</v>
      </c>
      <c r="R21" s="21"/>
      <c r="S21" s="21">
        <f t="shared" ref="S21:S36" si="0">R21*(33/30)</f>
        <v>0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/>
      <c r="AA21" s="15">
        <f t="shared" ref="AA21:AA26" si="1">Z21*(33/30)</f>
        <v>0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21"/>
      <c r="AI21" s="21">
        <f t="shared" ref="AI21:AI26" si="2">AH21*(33/30)</f>
        <v>0</v>
      </c>
      <c r="AJ21" s="5" t="s">
        <v>37</v>
      </c>
      <c r="AK21" s="5" t="s">
        <v>43</v>
      </c>
      <c r="AL21" s="5"/>
    </row>
    <row r="22" spans="16:38" ht="15" thickBot="1" x14ac:dyDescent="0.4">
      <c r="P22" s="36"/>
      <c r="Q22" s="8" t="s">
        <v>47</v>
      </c>
      <c r="R22" s="15"/>
      <c r="S22" s="15">
        <f>R22*(33/30)</f>
        <v>0</v>
      </c>
      <c r="T22" s="5"/>
      <c r="U22" s="5"/>
      <c r="V22" s="5"/>
      <c r="X22" s="36"/>
      <c r="Y22" s="8" t="s">
        <v>47</v>
      </c>
      <c r="Z22" s="15"/>
      <c r="AA22" s="15">
        <f>Z22*(33/30)</f>
        <v>0</v>
      </c>
      <c r="AB22" s="5"/>
      <c r="AC22" s="5"/>
      <c r="AD22" s="5"/>
      <c r="AF22" s="36"/>
      <c r="AG22" s="8" t="s">
        <v>47</v>
      </c>
      <c r="AH22" s="15"/>
      <c r="AI22" s="15">
        <f>AH22*(33/30)</f>
        <v>0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/>
      <c r="S23" s="16">
        <f t="shared" si="0"/>
        <v>0</v>
      </c>
      <c r="T23" s="12" t="s">
        <v>37</v>
      </c>
      <c r="U23" s="5" t="s">
        <v>43</v>
      </c>
      <c r="V23" s="5"/>
      <c r="X23" s="25"/>
      <c r="Y23" s="4" t="s">
        <v>20</v>
      </c>
      <c r="Z23" s="16"/>
      <c r="AA23" s="16">
        <f t="shared" si="1"/>
        <v>0</v>
      </c>
      <c r="AB23" s="12" t="s">
        <v>37</v>
      </c>
      <c r="AC23" s="5" t="s">
        <v>43</v>
      </c>
      <c r="AD23" s="5"/>
      <c r="AF23" s="25"/>
      <c r="AG23" s="4" t="s">
        <v>20</v>
      </c>
      <c r="AH23" s="16"/>
      <c r="AI23" s="16">
        <f t="shared" si="2"/>
        <v>0</v>
      </c>
      <c r="AJ23" s="12" t="s">
        <v>37</v>
      </c>
      <c r="AK23" s="5" t="s">
        <v>43</v>
      </c>
      <c r="AL23" s="5"/>
    </row>
    <row r="24" spans="16:38" ht="15" thickBot="1" x14ac:dyDescent="0.4">
      <c r="P24" s="24" t="s">
        <v>33</v>
      </c>
      <c r="Q24" s="8" t="s">
        <v>46</v>
      </c>
      <c r="R24" s="21"/>
      <c r="S24" s="21">
        <f t="shared" si="0"/>
        <v>0</v>
      </c>
      <c r="T24" s="5" t="s">
        <v>37</v>
      </c>
      <c r="U24" s="5" t="s">
        <v>43</v>
      </c>
      <c r="V24" s="5"/>
      <c r="X24" s="24" t="s">
        <v>33</v>
      </c>
      <c r="Y24" s="8" t="s">
        <v>46</v>
      </c>
      <c r="Z24" s="15"/>
      <c r="AA24" s="15">
        <f t="shared" si="1"/>
        <v>0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21"/>
      <c r="AI24" s="21">
        <f t="shared" si="2"/>
        <v>0</v>
      </c>
      <c r="AJ24" s="5" t="s">
        <v>37</v>
      </c>
      <c r="AK24" s="5" t="s">
        <v>43</v>
      </c>
      <c r="AL24" s="5"/>
    </row>
    <row r="25" spans="16:38" ht="15" thickBot="1" x14ac:dyDescent="0.4">
      <c r="P25" s="36"/>
      <c r="Q25" s="8" t="s">
        <v>47</v>
      </c>
      <c r="R25" s="15"/>
      <c r="S25" s="15">
        <f>R25*(33/30)</f>
        <v>0</v>
      </c>
      <c r="T25" s="5"/>
      <c r="U25" s="5"/>
      <c r="V25" s="5"/>
      <c r="X25" s="36"/>
      <c r="Y25" s="8" t="s">
        <v>47</v>
      </c>
      <c r="Z25" s="15"/>
      <c r="AA25" s="15">
        <f>Z25*(33/30)</f>
        <v>0</v>
      </c>
      <c r="AB25" s="5"/>
      <c r="AC25" s="5"/>
      <c r="AD25" s="5"/>
      <c r="AF25" s="36"/>
      <c r="AG25" s="8" t="s">
        <v>47</v>
      </c>
      <c r="AH25" s="15"/>
      <c r="AI25" s="15">
        <f>AH25*(33/30)</f>
        <v>0</v>
      </c>
      <c r="AJ25" s="5" t="s">
        <v>37</v>
      </c>
      <c r="AK25" s="5"/>
      <c r="AL25" s="5"/>
    </row>
    <row r="26" spans="16:38" ht="15" thickBot="1" x14ac:dyDescent="0.4">
      <c r="P26" s="25"/>
      <c r="Q26" s="4" t="s">
        <v>20</v>
      </c>
      <c r="R26" s="16"/>
      <c r="S26" s="16">
        <f t="shared" si="0"/>
        <v>0</v>
      </c>
      <c r="T26" s="12" t="s">
        <v>37</v>
      </c>
      <c r="U26" s="5" t="s">
        <v>43</v>
      </c>
      <c r="V26" s="5"/>
      <c r="X26" s="25"/>
      <c r="Y26" s="4" t="s">
        <v>20</v>
      </c>
      <c r="Z26" s="16"/>
      <c r="AA26" s="16">
        <f t="shared" si="1"/>
        <v>0</v>
      </c>
      <c r="AB26" s="12" t="s">
        <v>37</v>
      </c>
      <c r="AC26" s="5" t="s">
        <v>43</v>
      </c>
      <c r="AD26" s="5"/>
      <c r="AF26" s="25"/>
      <c r="AG26" s="4" t="s">
        <v>20</v>
      </c>
      <c r="AH26" s="16"/>
      <c r="AI26" s="16">
        <f t="shared" si="2"/>
        <v>0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22">
        <v>257.69429100000002</v>
      </c>
      <c r="S27" s="22">
        <f>R27*(33/33)</f>
        <v>257.69429100000002</v>
      </c>
      <c r="T27" s="5" t="s">
        <v>37</v>
      </c>
      <c r="U27" s="5" t="s">
        <v>43</v>
      </c>
      <c r="V27" s="5"/>
      <c r="X27" s="26" t="s">
        <v>34</v>
      </c>
      <c r="Y27" s="27"/>
      <c r="Z27" s="22">
        <v>163.51737739999999</v>
      </c>
      <c r="AA27" s="22">
        <f>Z27*(33/33)</f>
        <v>163.51737739999999</v>
      </c>
      <c r="AB27" s="5" t="s">
        <v>37</v>
      </c>
      <c r="AC27" s="5" t="s">
        <v>43</v>
      </c>
      <c r="AD27" s="5"/>
      <c r="AF27" s="26" t="s">
        <v>34</v>
      </c>
      <c r="AG27" s="27"/>
      <c r="AH27" s="22">
        <v>142.30000000000001</v>
      </c>
      <c r="AI27" s="22">
        <f>AH27</f>
        <v>142.30000000000001</v>
      </c>
      <c r="AJ27" s="5" t="s">
        <v>37</v>
      </c>
      <c r="AK27" s="5" t="s">
        <v>43</v>
      </c>
      <c r="AL27" s="5"/>
    </row>
    <row r="28" spans="16:38" ht="15" thickBot="1" x14ac:dyDescent="0.4">
      <c r="P28" s="28" t="s">
        <v>21</v>
      </c>
      <c r="Q28" s="8" t="s">
        <v>46</v>
      </c>
      <c r="R28" s="21"/>
      <c r="S28" s="21">
        <f t="shared" si="0"/>
        <v>0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/>
      <c r="AA28" s="15">
        <f t="shared" ref="AA28:AA36" si="3">Z28*(33/30)</f>
        <v>0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21"/>
      <c r="AI28" s="21">
        <f t="shared" ref="AI28:AI36" si="4">AH28*(33/30)</f>
        <v>0</v>
      </c>
      <c r="AJ28" s="5" t="s">
        <v>37</v>
      </c>
      <c r="AK28" s="5" t="s">
        <v>43</v>
      </c>
      <c r="AL28" s="5"/>
    </row>
    <row r="29" spans="16:38" ht="15" thickBot="1" x14ac:dyDescent="0.4">
      <c r="P29" s="37"/>
      <c r="Q29" s="8" t="s">
        <v>47</v>
      </c>
      <c r="R29" s="15"/>
      <c r="S29" s="15">
        <f>R29*(33/30)</f>
        <v>0</v>
      </c>
      <c r="T29" s="5"/>
      <c r="U29" s="5"/>
      <c r="V29" s="5"/>
      <c r="X29" s="37"/>
      <c r="Y29" s="8" t="s">
        <v>47</v>
      </c>
      <c r="Z29" s="15"/>
      <c r="AA29" s="15">
        <f>Z29*(33/30)</f>
        <v>0</v>
      </c>
      <c r="AB29" s="5"/>
      <c r="AC29" s="5"/>
      <c r="AD29" s="5"/>
      <c r="AF29" s="37"/>
      <c r="AG29" s="8" t="s">
        <v>47</v>
      </c>
      <c r="AH29" s="15"/>
      <c r="AI29" s="15">
        <f>AH29*(33/30)</f>
        <v>0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/>
      <c r="S30" s="16">
        <f t="shared" si="0"/>
        <v>0</v>
      </c>
      <c r="T30" s="12" t="s">
        <v>37</v>
      </c>
      <c r="U30" s="5" t="s">
        <v>43</v>
      </c>
      <c r="V30" s="5"/>
      <c r="X30" s="29"/>
      <c r="Y30" s="4" t="s">
        <v>20</v>
      </c>
      <c r="Z30" s="16"/>
      <c r="AA30" s="16">
        <f t="shared" si="3"/>
        <v>0</v>
      </c>
      <c r="AB30" s="12" t="s">
        <v>37</v>
      </c>
      <c r="AC30" s="5" t="s">
        <v>43</v>
      </c>
      <c r="AD30" s="5"/>
      <c r="AF30" s="29"/>
      <c r="AG30" s="4" t="s">
        <v>20</v>
      </c>
      <c r="AH30" s="16"/>
      <c r="AI30" s="16">
        <f t="shared" si="4"/>
        <v>0</v>
      </c>
      <c r="AJ30" s="12" t="s">
        <v>37</v>
      </c>
      <c r="AK30" s="5" t="s">
        <v>43</v>
      </c>
      <c r="AL30" s="5"/>
    </row>
    <row r="31" spans="16:38" ht="15" thickBot="1" x14ac:dyDescent="0.4">
      <c r="P31" s="28" t="s">
        <v>22</v>
      </c>
      <c r="Q31" s="8" t="s">
        <v>46</v>
      </c>
      <c r="R31" s="21"/>
      <c r="S31" s="21">
        <f t="shared" si="0"/>
        <v>0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/>
      <c r="AA31" s="15">
        <f t="shared" si="3"/>
        <v>0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21"/>
      <c r="AI31" s="21">
        <f t="shared" si="4"/>
        <v>0</v>
      </c>
      <c r="AJ31" s="5" t="s">
        <v>37</v>
      </c>
      <c r="AK31" s="5" t="s">
        <v>43</v>
      </c>
      <c r="AL31" s="5"/>
    </row>
    <row r="32" spans="16:38" ht="15" thickBot="1" x14ac:dyDescent="0.4">
      <c r="P32" s="37"/>
      <c r="Q32" s="8" t="s">
        <v>47</v>
      </c>
      <c r="R32" s="15"/>
      <c r="S32" s="15">
        <f>R32*(33/30)</f>
        <v>0</v>
      </c>
      <c r="T32" s="5"/>
      <c r="U32" s="5"/>
      <c r="V32" s="5"/>
      <c r="X32" s="37"/>
      <c r="Y32" s="8" t="s">
        <v>47</v>
      </c>
      <c r="Z32" s="15"/>
      <c r="AA32" s="15">
        <f>Z32*(33/30)</f>
        <v>0</v>
      </c>
      <c r="AB32" s="5"/>
      <c r="AC32" s="5"/>
      <c r="AD32" s="5"/>
      <c r="AF32" s="37"/>
      <c r="AG32" s="8" t="s">
        <v>47</v>
      </c>
      <c r="AH32" s="15"/>
      <c r="AI32" s="15">
        <f>AH32*(33/30)</f>
        <v>0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/>
      <c r="S33" s="16">
        <f t="shared" si="0"/>
        <v>0</v>
      </c>
      <c r="T33" s="12" t="s">
        <v>37</v>
      </c>
      <c r="U33" s="5" t="s">
        <v>43</v>
      </c>
      <c r="V33" s="5"/>
      <c r="X33" s="29"/>
      <c r="Y33" s="4" t="s">
        <v>20</v>
      </c>
      <c r="Z33" s="16"/>
      <c r="AA33" s="16">
        <f t="shared" si="3"/>
        <v>0</v>
      </c>
      <c r="AB33" s="12" t="s">
        <v>37</v>
      </c>
      <c r="AC33" s="5" t="s">
        <v>43</v>
      </c>
      <c r="AD33" s="5"/>
      <c r="AF33" s="29"/>
      <c r="AG33" s="4" t="s">
        <v>20</v>
      </c>
      <c r="AH33" s="16"/>
      <c r="AI33" s="16">
        <f t="shared" si="4"/>
        <v>0</v>
      </c>
      <c r="AJ33" s="12" t="s">
        <v>37</v>
      </c>
      <c r="AK33" s="5" t="s">
        <v>43</v>
      </c>
      <c r="AL33" s="5"/>
    </row>
    <row r="34" spans="15:38" ht="15" thickBot="1" x14ac:dyDescent="0.4">
      <c r="P34" s="24" t="s">
        <v>35</v>
      </c>
      <c r="Q34" s="8" t="s">
        <v>46</v>
      </c>
      <c r="R34" s="21"/>
      <c r="S34" s="21">
        <f t="shared" si="0"/>
        <v>0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/>
      <c r="AA34" s="15">
        <f t="shared" si="3"/>
        <v>0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21"/>
      <c r="AI34" s="21">
        <f t="shared" si="4"/>
        <v>0</v>
      </c>
      <c r="AJ34" s="5" t="s">
        <v>37</v>
      </c>
      <c r="AK34" s="5" t="s">
        <v>43</v>
      </c>
      <c r="AL34" s="5"/>
    </row>
    <row r="35" spans="15:38" ht="15" thickBot="1" x14ac:dyDescent="0.4">
      <c r="P35" s="36"/>
      <c r="Q35" s="8" t="s">
        <v>47</v>
      </c>
      <c r="R35" s="15"/>
      <c r="S35" s="15">
        <f>R35*(33/30)</f>
        <v>0</v>
      </c>
      <c r="T35" s="5"/>
      <c r="U35" s="5"/>
      <c r="V35" s="5"/>
      <c r="X35" s="36"/>
      <c r="Y35" s="8" t="s">
        <v>47</v>
      </c>
      <c r="Z35" s="15"/>
      <c r="AA35" s="15">
        <f>Z35*(33/30)</f>
        <v>0</v>
      </c>
      <c r="AB35" s="5"/>
      <c r="AC35" s="5"/>
      <c r="AD35" s="5"/>
      <c r="AF35" s="36"/>
      <c r="AG35" s="8" t="s">
        <v>47</v>
      </c>
      <c r="AH35" s="15"/>
      <c r="AI35" s="15">
        <f>AH35*(33/30)</f>
        <v>0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/>
      <c r="S36" s="16">
        <f t="shared" si="0"/>
        <v>0</v>
      </c>
      <c r="T36" s="12" t="s">
        <v>37</v>
      </c>
      <c r="U36" s="5" t="s">
        <v>43</v>
      </c>
      <c r="V36" s="5"/>
      <c r="X36" s="25"/>
      <c r="Y36" s="4" t="s">
        <v>20</v>
      </c>
      <c r="Z36" s="16"/>
      <c r="AA36" s="16">
        <f t="shared" si="3"/>
        <v>0</v>
      </c>
      <c r="AB36" s="12" t="s">
        <v>37</v>
      </c>
      <c r="AC36" s="5" t="s">
        <v>43</v>
      </c>
      <c r="AD36" s="5"/>
      <c r="AF36" s="25"/>
      <c r="AG36" s="4" t="s">
        <v>20</v>
      </c>
      <c r="AH36" s="16"/>
      <c r="AI36" s="16">
        <f t="shared" si="4"/>
        <v>0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22">
        <v>277.22238399999998</v>
      </c>
      <c r="S37" s="22">
        <f>R37*(33/33)</f>
        <v>277.22238399999998</v>
      </c>
      <c r="T37" s="5" t="s">
        <v>37</v>
      </c>
      <c r="U37" s="5" t="s">
        <v>43</v>
      </c>
      <c r="V37" s="5"/>
      <c r="X37" s="26" t="s">
        <v>23</v>
      </c>
      <c r="Y37" s="27"/>
      <c r="Z37" s="22">
        <v>172.1276</v>
      </c>
      <c r="AA37" s="22">
        <f>Z37*(33/33)</f>
        <v>172.1276</v>
      </c>
      <c r="AB37" s="5" t="s">
        <v>37</v>
      </c>
      <c r="AC37" s="5" t="s">
        <v>43</v>
      </c>
      <c r="AD37" s="5"/>
      <c r="AF37" s="26" t="s">
        <v>23</v>
      </c>
      <c r="AG37" s="27"/>
      <c r="AH37" s="22">
        <v>146.1</v>
      </c>
      <c r="AI37" s="22">
        <f>AH37*(33/33)</f>
        <v>146.1</v>
      </c>
      <c r="AJ37" s="5" t="s">
        <v>37</v>
      </c>
      <c r="AK37" s="5" t="s">
        <v>43</v>
      </c>
      <c r="AL37" s="5"/>
    </row>
    <row r="38" spans="15:38" x14ac:dyDescent="0.35">
      <c r="R38" s="6"/>
      <c r="S38" s="6"/>
      <c r="Z38" s="6"/>
      <c r="AA38" s="6"/>
      <c r="AH38" s="6"/>
      <c r="AI38" s="6"/>
    </row>
    <row r="39" spans="15:38" ht="15" thickBot="1" x14ac:dyDescent="0.4">
      <c r="R39" s="6"/>
      <c r="S39" s="6"/>
      <c r="Z39" s="6"/>
      <c r="AA39" s="6"/>
      <c r="AH39" s="6"/>
      <c r="AI39" s="6"/>
    </row>
    <row r="40" spans="15:38" ht="23.5" thickBot="1" x14ac:dyDescent="0.4">
      <c r="P40" s="34" t="s">
        <v>0</v>
      </c>
      <c r="Q40" s="35"/>
      <c r="R40" s="18" t="s">
        <v>1</v>
      </c>
      <c r="S40" s="18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8" t="s">
        <v>1</v>
      </c>
      <c r="AA40" s="18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8" t="s">
        <v>1</v>
      </c>
      <c r="AI40" s="18"/>
      <c r="AJ40" s="1" t="s">
        <v>25</v>
      </c>
      <c r="AK40" s="1" t="s">
        <v>26</v>
      </c>
      <c r="AL40" s="1" t="s">
        <v>27</v>
      </c>
    </row>
    <row r="41" spans="15:38" ht="15" customHeight="1" thickBot="1" x14ac:dyDescent="0.4">
      <c r="O41" s="2" t="s">
        <v>28</v>
      </c>
      <c r="P41" s="32" t="s">
        <v>3</v>
      </c>
      <c r="Q41" s="33"/>
      <c r="R41" s="19"/>
      <c r="S41" s="19"/>
      <c r="T41" s="3"/>
      <c r="U41" s="3"/>
      <c r="V41" s="3"/>
      <c r="W41" s="2" t="s">
        <v>28</v>
      </c>
      <c r="X41" s="32" t="s">
        <v>3</v>
      </c>
      <c r="Y41" s="33"/>
      <c r="Z41" s="19"/>
      <c r="AA41" s="19"/>
      <c r="AB41" s="3"/>
      <c r="AC41" s="3"/>
      <c r="AD41" s="3"/>
      <c r="AE41" s="2" t="s">
        <v>28</v>
      </c>
      <c r="AF41" s="32" t="s">
        <v>3</v>
      </c>
      <c r="AG41" s="33"/>
      <c r="AH41" s="19"/>
      <c r="AI41" s="19"/>
      <c r="AJ41" s="3"/>
      <c r="AK41" s="3"/>
      <c r="AL41" s="3"/>
    </row>
    <row r="42" spans="15:38" ht="15" customHeight="1" thickBot="1" x14ac:dyDescent="0.4">
      <c r="O42" s="6" t="s">
        <v>44</v>
      </c>
      <c r="P42" s="30" t="s">
        <v>4</v>
      </c>
      <c r="Q42" s="31"/>
      <c r="R42" s="19"/>
      <c r="S42" s="19"/>
      <c r="T42" s="3"/>
      <c r="U42" s="3"/>
      <c r="V42" s="3"/>
      <c r="W42" s="6" t="s">
        <v>30</v>
      </c>
      <c r="X42" s="30" t="s">
        <v>4</v>
      </c>
      <c r="Y42" s="31"/>
      <c r="Z42" s="19"/>
      <c r="AA42" s="19"/>
      <c r="AB42" s="3"/>
      <c r="AC42" s="3"/>
      <c r="AD42" s="3"/>
      <c r="AE42" s="6" t="s">
        <v>45</v>
      </c>
      <c r="AF42" s="30" t="s">
        <v>4</v>
      </c>
      <c r="AG42" s="31"/>
      <c r="AH42" s="19"/>
      <c r="AI42" s="19"/>
      <c r="AJ42" s="3"/>
      <c r="AK42" s="3"/>
      <c r="AL42" s="3"/>
    </row>
    <row r="43" spans="15:38" ht="15" customHeight="1" thickBot="1" x14ac:dyDescent="0.4">
      <c r="P43" s="32" t="s">
        <v>5</v>
      </c>
      <c r="Q43" s="33"/>
      <c r="R43" s="19"/>
      <c r="S43" s="19"/>
      <c r="T43" s="3"/>
      <c r="U43" s="3"/>
      <c r="V43" s="3"/>
      <c r="X43" s="32" t="s">
        <v>5</v>
      </c>
      <c r="Y43" s="33"/>
      <c r="Z43" s="19"/>
      <c r="AA43" s="19"/>
      <c r="AB43" s="3"/>
      <c r="AC43" s="3"/>
      <c r="AD43" s="3"/>
      <c r="AF43" s="32" t="s">
        <v>5</v>
      </c>
      <c r="AG43" s="33"/>
      <c r="AH43" s="19"/>
      <c r="AI43" s="19"/>
      <c r="AJ43" s="3"/>
      <c r="AK43" s="3"/>
      <c r="AL43" s="3"/>
    </row>
    <row r="44" spans="15:38" ht="15" customHeight="1" thickBot="1" x14ac:dyDescent="0.4">
      <c r="P44" s="30" t="s">
        <v>6</v>
      </c>
      <c r="Q44" s="31"/>
      <c r="R44" s="19"/>
      <c r="S44" s="19"/>
      <c r="T44" s="3"/>
      <c r="U44" s="3"/>
      <c r="V44" s="3"/>
      <c r="X44" s="30" t="s">
        <v>6</v>
      </c>
      <c r="Y44" s="31"/>
      <c r="Z44" s="19"/>
      <c r="AA44" s="19"/>
      <c r="AB44" s="3"/>
      <c r="AC44" s="3"/>
      <c r="AD44" s="3"/>
      <c r="AF44" s="30" t="s">
        <v>6</v>
      </c>
      <c r="AG44" s="31"/>
      <c r="AH44" s="19"/>
      <c r="AI44" s="19"/>
      <c r="AJ44" s="3"/>
      <c r="AK44" s="3"/>
      <c r="AL44" s="3"/>
    </row>
    <row r="45" spans="15:38" ht="15" customHeight="1" thickBot="1" x14ac:dyDescent="0.4">
      <c r="P45" s="32" t="s">
        <v>7</v>
      </c>
      <c r="Q45" s="33"/>
      <c r="R45" s="19"/>
      <c r="S45" s="19"/>
      <c r="T45" s="3"/>
      <c r="U45" s="3"/>
      <c r="V45" s="3"/>
      <c r="X45" s="32" t="s">
        <v>7</v>
      </c>
      <c r="Y45" s="33"/>
      <c r="Z45" s="19"/>
      <c r="AA45" s="19"/>
      <c r="AB45" s="3"/>
      <c r="AC45" s="3"/>
      <c r="AD45" s="3"/>
      <c r="AF45" s="32" t="s">
        <v>7</v>
      </c>
      <c r="AG45" s="33"/>
      <c r="AH45" s="19"/>
      <c r="AI45" s="19"/>
      <c r="AJ45" s="3"/>
      <c r="AK45" s="3"/>
      <c r="AL45" s="3"/>
    </row>
    <row r="46" spans="15:38" ht="15" customHeight="1" thickBot="1" x14ac:dyDescent="0.4">
      <c r="P46" s="30" t="s">
        <v>8</v>
      </c>
      <c r="Q46" s="31"/>
      <c r="R46" s="19"/>
      <c r="S46" s="19"/>
      <c r="T46" s="3"/>
      <c r="U46" s="3"/>
      <c r="V46" s="3"/>
      <c r="X46" s="30" t="s">
        <v>8</v>
      </c>
      <c r="Y46" s="31"/>
      <c r="Z46" s="19"/>
      <c r="AA46" s="19"/>
      <c r="AB46" s="3"/>
      <c r="AC46" s="3"/>
      <c r="AD46" s="3"/>
      <c r="AF46" s="30" t="s">
        <v>8</v>
      </c>
      <c r="AG46" s="31"/>
      <c r="AH46" s="19"/>
      <c r="AI46" s="19"/>
      <c r="AJ46" s="3"/>
      <c r="AK46" s="3"/>
      <c r="AL46" s="3"/>
    </row>
    <row r="47" spans="15:38" ht="15" customHeight="1" thickBot="1" x14ac:dyDescent="0.4">
      <c r="P47" s="32" t="s">
        <v>9</v>
      </c>
      <c r="Q47" s="33"/>
      <c r="R47" s="19"/>
      <c r="S47" s="19"/>
      <c r="T47" s="3"/>
      <c r="U47" s="3"/>
      <c r="V47" s="3"/>
      <c r="X47" s="32" t="s">
        <v>9</v>
      </c>
      <c r="Y47" s="33"/>
      <c r="Z47" s="19"/>
      <c r="AA47" s="19"/>
      <c r="AB47" s="3"/>
      <c r="AC47" s="3"/>
      <c r="AD47" s="3"/>
      <c r="AF47" s="32" t="s">
        <v>9</v>
      </c>
      <c r="AG47" s="33"/>
      <c r="AH47" s="19"/>
      <c r="AI47" s="19"/>
      <c r="AJ47" s="3"/>
      <c r="AK47" s="3"/>
      <c r="AL47" s="3"/>
    </row>
    <row r="48" spans="15:38" ht="15" customHeight="1" thickBot="1" x14ac:dyDescent="0.4">
      <c r="P48" s="30" t="s">
        <v>10</v>
      </c>
      <c r="Q48" s="31"/>
      <c r="R48" s="19"/>
      <c r="S48" s="19"/>
      <c r="T48" s="3"/>
      <c r="U48" s="3"/>
      <c r="V48" s="3"/>
      <c r="X48" s="30" t="s">
        <v>10</v>
      </c>
      <c r="Y48" s="31"/>
      <c r="Z48" s="19"/>
      <c r="AA48" s="19"/>
      <c r="AB48" s="3"/>
      <c r="AC48" s="3"/>
      <c r="AD48" s="3"/>
      <c r="AF48" s="30" t="s">
        <v>10</v>
      </c>
      <c r="AG48" s="31"/>
      <c r="AH48" s="19"/>
      <c r="AI48" s="19"/>
      <c r="AJ48" s="3"/>
      <c r="AK48" s="3"/>
      <c r="AL48" s="3"/>
    </row>
    <row r="49" spans="16:38" ht="15" customHeight="1" thickBot="1" x14ac:dyDescent="0.4">
      <c r="P49" s="32" t="s">
        <v>11</v>
      </c>
      <c r="Q49" s="33"/>
      <c r="R49" s="19"/>
      <c r="S49" s="19"/>
      <c r="T49" s="3"/>
      <c r="U49" s="3"/>
      <c r="V49" s="3"/>
      <c r="X49" s="32" t="s">
        <v>11</v>
      </c>
      <c r="Y49" s="33"/>
      <c r="Z49" s="19"/>
      <c r="AA49" s="19"/>
      <c r="AB49" s="3"/>
      <c r="AC49" s="3"/>
      <c r="AD49" s="3"/>
      <c r="AF49" s="32" t="s">
        <v>11</v>
      </c>
      <c r="AG49" s="33"/>
      <c r="AH49" s="19"/>
      <c r="AI49" s="19"/>
      <c r="AJ49" s="3"/>
      <c r="AK49" s="3"/>
      <c r="AL49" s="3"/>
    </row>
    <row r="50" spans="16:38" ht="15" customHeight="1" thickBot="1" x14ac:dyDescent="0.4">
      <c r="P50" s="30" t="s">
        <v>12</v>
      </c>
      <c r="Q50" s="31"/>
      <c r="R50" s="19"/>
      <c r="S50" s="19"/>
      <c r="T50" s="3"/>
      <c r="U50" s="3"/>
      <c r="V50" s="3"/>
      <c r="X50" s="30" t="s">
        <v>12</v>
      </c>
      <c r="Y50" s="31"/>
      <c r="Z50" s="19"/>
      <c r="AA50" s="19"/>
      <c r="AB50" s="3"/>
      <c r="AC50" s="3"/>
      <c r="AD50" s="3"/>
      <c r="AF50" s="30" t="s">
        <v>12</v>
      </c>
      <c r="AG50" s="31"/>
      <c r="AH50" s="19"/>
      <c r="AI50" s="19"/>
      <c r="AJ50" s="3"/>
      <c r="AK50" s="3"/>
      <c r="AL50" s="3"/>
    </row>
    <row r="51" spans="16:38" ht="15" customHeight="1" thickBot="1" x14ac:dyDescent="0.4">
      <c r="P51" s="32" t="s">
        <v>13</v>
      </c>
      <c r="Q51" s="33"/>
      <c r="R51" s="19"/>
      <c r="S51" s="19"/>
      <c r="T51" s="3"/>
      <c r="U51" s="3"/>
      <c r="V51" s="3"/>
      <c r="X51" s="32" t="s">
        <v>13</v>
      </c>
      <c r="Y51" s="33"/>
      <c r="Z51" s="19"/>
      <c r="AA51" s="19"/>
      <c r="AB51" s="3"/>
      <c r="AC51" s="3"/>
      <c r="AD51" s="3"/>
      <c r="AF51" s="32" t="s">
        <v>13</v>
      </c>
      <c r="AG51" s="33"/>
      <c r="AH51" s="19"/>
      <c r="AI51" s="19"/>
      <c r="AJ51" s="3"/>
      <c r="AK51" s="3"/>
      <c r="AL51" s="3"/>
    </row>
    <row r="52" spans="16:38" ht="15" customHeight="1" thickBot="1" x14ac:dyDescent="0.4">
      <c r="P52" s="30" t="s">
        <v>14</v>
      </c>
      <c r="Q52" s="31"/>
      <c r="R52" s="19"/>
      <c r="S52" s="19"/>
      <c r="T52" s="3"/>
      <c r="U52" s="3"/>
      <c r="V52" s="3"/>
      <c r="X52" s="30" t="s">
        <v>14</v>
      </c>
      <c r="Y52" s="31"/>
      <c r="Z52" s="19"/>
      <c r="AA52" s="19"/>
      <c r="AB52" s="3"/>
      <c r="AC52" s="3"/>
      <c r="AD52" s="3"/>
      <c r="AF52" s="30" t="s">
        <v>14</v>
      </c>
      <c r="AG52" s="31"/>
      <c r="AH52" s="19"/>
      <c r="AI52" s="19"/>
      <c r="AJ52" s="3"/>
      <c r="AK52" s="3"/>
      <c r="AL52" s="3"/>
    </row>
    <row r="53" spans="16:38" ht="15" customHeight="1" thickBot="1" x14ac:dyDescent="0.4">
      <c r="P53" s="32" t="s">
        <v>15</v>
      </c>
      <c r="Q53" s="33"/>
      <c r="R53" s="19"/>
      <c r="S53" s="19"/>
      <c r="T53" s="3"/>
      <c r="U53" s="3"/>
      <c r="V53" s="3"/>
      <c r="X53" s="32" t="s">
        <v>15</v>
      </c>
      <c r="Y53" s="33"/>
      <c r="Z53" s="19"/>
      <c r="AA53" s="19"/>
      <c r="AB53" s="3"/>
      <c r="AC53" s="3"/>
      <c r="AD53" s="3"/>
      <c r="AF53" s="32" t="s">
        <v>15</v>
      </c>
      <c r="AG53" s="33"/>
      <c r="AH53" s="19"/>
      <c r="AI53" s="19"/>
      <c r="AJ53" s="3"/>
      <c r="AK53" s="3"/>
      <c r="AL53" s="3"/>
    </row>
    <row r="54" spans="16:38" ht="15" customHeight="1" thickBot="1" x14ac:dyDescent="0.4">
      <c r="P54" s="30" t="s">
        <v>16</v>
      </c>
      <c r="Q54" s="31"/>
      <c r="R54" s="19"/>
      <c r="S54" s="19"/>
      <c r="T54" s="3"/>
      <c r="U54" s="3"/>
      <c r="V54" s="3"/>
      <c r="X54" s="30" t="s">
        <v>16</v>
      </c>
      <c r="Y54" s="31"/>
      <c r="Z54" s="19"/>
      <c r="AA54" s="19"/>
      <c r="AB54" s="3"/>
      <c r="AC54" s="3"/>
      <c r="AD54" s="3"/>
      <c r="AF54" s="30" t="s">
        <v>16</v>
      </c>
      <c r="AG54" s="31"/>
      <c r="AH54" s="19"/>
      <c r="AI54" s="19"/>
      <c r="AJ54" s="3"/>
      <c r="AK54" s="3"/>
      <c r="AL54" s="3"/>
    </row>
    <row r="55" spans="16:38" ht="15" customHeight="1" thickBot="1" x14ac:dyDescent="0.4">
      <c r="P55" s="32" t="s">
        <v>17</v>
      </c>
      <c r="Q55" s="33"/>
      <c r="R55" s="19"/>
      <c r="S55" s="19"/>
      <c r="T55" s="3"/>
      <c r="U55" s="3"/>
      <c r="V55" s="3"/>
      <c r="X55" s="32" t="s">
        <v>17</v>
      </c>
      <c r="Y55" s="33"/>
      <c r="Z55" s="19"/>
      <c r="AA55" s="19"/>
      <c r="AB55" s="3"/>
      <c r="AC55" s="3"/>
      <c r="AD55" s="3"/>
      <c r="AF55" s="32" t="s">
        <v>17</v>
      </c>
      <c r="AG55" s="33"/>
      <c r="AH55" s="19"/>
      <c r="AI55" s="19"/>
      <c r="AJ55" s="3"/>
      <c r="AK55" s="3"/>
      <c r="AL55" s="3"/>
    </row>
    <row r="56" spans="16:38" ht="15" customHeight="1" thickBot="1" x14ac:dyDescent="0.4">
      <c r="P56" s="30" t="s">
        <v>18</v>
      </c>
      <c r="Q56" s="31"/>
      <c r="R56" s="19"/>
      <c r="S56" s="19"/>
      <c r="T56" s="3"/>
      <c r="U56" s="3"/>
      <c r="V56" s="3"/>
      <c r="X56" s="30" t="s">
        <v>18</v>
      </c>
      <c r="Y56" s="31"/>
      <c r="Z56" s="19"/>
      <c r="AA56" s="19"/>
      <c r="AB56" s="3"/>
      <c r="AC56" s="3"/>
      <c r="AD56" s="3"/>
      <c r="AF56" s="30" t="s">
        <v>18</v>
      </c>
      <c r="AG56" s="31"/>
      <c r="AH56" s="19"/>
      <c r="AI56" s="19"/>
      <c r="AJ56" s="3"/>
      <c r="AK56" s="3"/>
      <c r="AL56" s="3"/>
    </row>
    <row r="57" spans="16:38" ht="21.75" customHeight="1" thickBot="1" x14ac:dyDescent="0.4">
      <c r="P57" s="28" t="s">
        <v>31</v>
      </c>
      <c r="Q57" s="8" t="s">
        <v>46</v>
      </c>
      <c r="R57" s="15"/>
      <c r="S57" s="15">
        <f>R57*(36/33)</f>
        <v>0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/>
      <c r="AA57" s="15">
        <f>Z57*(36/33)</f>
        <v>0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/>
      <c r="AI57" s="15">
        <f>AH57*(36/33)</f>
        <v>0</v>
      </c>
      <c r="AJ57" s="3" t="s">
        <v>37</v>
      </c>
      <c r="AK57" s="3" t="s">
        <v>43</v>
      </c>
      <c r="AL57" s="3"/>
    </row>
    <row r="58" spans="16:38" ht="21.75" customHeight="1" thickBot="1" x14ac:dyDescent="0.4">
      <c r="P58" s="37"/>
      <c r="Q58" s="8" t="s">
        <v>47</v>
      </c>
      <c r="R58" s="15"/>
      <c r="S58" s="15">
        <f>R58*(36/33)</f>
        <v>0</v>
      </c>
      <c r="T58" s="3"/>
      <c r="U58" s="3"/>
      <c r="V58" s="3"/>
      <c r="X58" s="37"/>
      <c r="Y58" s="8" t="s">
        <v>47</v>
      </c>
      <c r="Z58" s="15"/>
      <c r="AA58" s="15">
        <f>Z58*(33/30)</f>
        <v>0</v>
      </c>
      <c r="AB58" s="3"/>
      <c r="AC58" s="3"/>
      <c r="AD58" s="3"/>
      <c r="AF58" s="37"/>
      <c r="AG58" s="8" t="s">
        <v>47</v>
      </c>
      <c r="AH58" s="15"/>
      <c r="AI58" s="15">
        <f>AH58*(33/30)</f>
        <v>0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/>
      <c r="S59" s="16">
        <f t="shared" ref="S59:S75" si="5">R59*(36/33)</f>
        <v>0</v>
      </c>
      <c r="T59" s="13" t="s">
        <v>37</v>
      </c>
      <c r="U59" s="3" t="s">
        <v>43</v>
      </c>
      <c r="V59" s="3"/>
      <c r="X59" s="29"/>
      <c r="Y59" s="4" t="s">
        <v>20</v>
      </c>
      <c r="Z59" s="16"/>
      <c r="AA59" s="16">
        <f t="shared" ref="AA59:AA65" si="6">Z59*(36/33)</f>
        <v>0</v>
      </c>
      <c r="AB59" s="13" t="s">
        <v>37</v>
      </c>
      <c r="AC59" s="3" t="s">
        <v>43</v>
      </c>
      <c r="AD59" s="3"/>
      <c r="AF59" s="29"/>
      <c r="AG59" s="4" t="s">
        <v>20</v>
      </c>
      <c r="AH59" s="16"/>
      <c r="AI59" s="16">
        <f t="shared" ref="AI59:AI65" si="7">AH59*(36/33)</f>
        <v>0</v>
      </c>
      <c r="AJ59" s="13" t="s">
        <v>37</v>
      </c>
      <c r="AK59" s="3" t="s">
        <v>43</v>
      </c>
      <c r="AL59" s="3"/>
    </row>
    <row r="60" spans="16:38" ht="23.25" customHeight="1" thickBot="1" x14ac:dyDescent="0.4">
      <c r="P60" s="24" t="s">
        <v>32</v>
      </c>
      <c r="Q60" s="8" t="s">
        <v>46</v>
      </c>
      <c r="R60" s="15"/>
      <c r="S60" s="15">
        <f t="shared" si="5"/>
        <v>0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/>
      <c r="AA60" s="15">
        <f t="shared" si="6"/>
        <v>0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/>
      <c r="AI60" s="15">
        <f t="shared" si="7"/>
        <v>0</v>
      </c>
      <c r="AJ60" s="3" t="s">
        <v>37</v>
      </c>
      <c r="AK60" s="3" t="s">
        <v>43</v>
      </c>
      <c r="AL60" s="3"/>
    </row>
    <row r="61" spans="16:38" ht="24.75" customHeight="1" thickBot="1" x14ac:dyDescent="0.4">
      <c r="P61" s="36"/>
      <c r="Q61" s="8" t="s">
        <v>47</v>
      </c>
      <c r="R61" s="15"/>
      <c r="S61" s="15">
        <f>R61*(36/33)</f>
        <v>0</v>
      </c>
      <c r="T61" s="3"/>
      <c r="U61" s="3"/>
      <c r="V61" s="3"/>
      <c r="X61" s="36"/>
      <c r="Y61" s="8" t="s">
        <v>47</v>
      </c>
      <c r="Z61" s="15"/>
      <c r="AA61" s="15">
        <f>Z61*(33/30)</f>
        <v>0</v>
      </c>
      <c r="AB61" s="3"/>
      <c r="AC61" s="3"/>
      <c r="AD61" s="3"/>
      <c r="AF61" s="36"/>
      <c r="AG61" s="8" t="s">
        <v>47</v>
      </c>
      <c r="AH61" s="15"/>
      <c r="AI61" s="15">
        <f>AH61*(33/30)</f>
        <v>0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/>
      <c r="S62" s="16">
        <f t="shared" si="5"/>
        <v>0</v>
      </c>
      <c r="T62" s="13" t="s">
        <v>37</v>
      </c>
      <c r="U62" s="3" t="s">
        <v>43</v>
      </c>
      <c r="V62" s="3"/>
      <c r="X62" s="25"/>
      <c r="Y62" s="4" t="s">
        <v>20</v>
      </c>
      <c r="Z62" s="16"/>
      <c r="AA62" s="16">
        <f t="shared" si="6"/>
        <v>0</v>
      </c>
      <c r="AB62" s="13" t="s">
        <v>37</v>
      </c>
      <c r="AC62" s="3" t="s">
        <v>43</v>
      </c>
      <c r="AD62" s="3"/>
      <c r="AF62" s="25"/>
      <c r="AG62" s="4" t="s">
        <v>20</v>
      </c>
      <c r="AH62" s="16"/>
      <c r="AI62" s="16">
        <f t="shared" si="7"/>
        <v>0</v>
      </c>
      <c r="AJ62" s="13" t="s">
        <v>37</v>
      </c>
      <c r="AK62" s="3" t="s">
        <v>43</v>
      </c>
      <c r="AL62" s="3"/>
    </row>
    <row r="63" spans="16:38" ht="15" thickBot="1" x14ac:dyDescent="0.4">
      <c r="P63" s="24" t="s">
        <v>33</v>
      </c>
      <c r="Q63" s="8" t="s">
        <v>46</v>
      </c>
      <c r="R63" s="15"/>
      <c r="S63" s="15">
        <f t="shared" si="5"/>
        <v>0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/>
      <c r="AA63" s="15">
        <f t="shared" si="6"/>
        <v>0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/>
      <c r="AI63" s="15">
        <f t="shared" si="7"/>
        <v>0</v>
      </c>
      <c r="AJ63" s="3" t="s">
        <v>37</v>
      </c>
      <c r="AK63" s="3" t="s">
        <v>43</v>
      </c>
      <c r="AL63" s="3"/>
    </row>
    <row r="64" spans="16:38" ht="15" thickBot="1" x14ac:dyDescent="0.4">
      <c r="P64" s="36"/>
      <c r="Q64" s="8" t="s">
        <v>47</v>
      </c>
      <c r="R64" s="16"/>
      <c r="S64" s="16">
        <f>R64*(36/33)</f>
        <v>0</v>
      </c>
      <c r="T64" s="3"/>
      <c r="U64" s="3"/>
      <c r="V64" s="3"/>
      <c r="X64" s="36"/>
      <c r="Y64" s="8" t="s">
        <v>47</v>
      </c>
      <c r="Z64" s="15"/>
      <c r="AA64" s="15">
        <f>Z64*(33/30)</f>
        <v>0</v>
      </c>
      <c r="AB64" s="3"/>
      <c r="AC64" s="3"/>
      <c r="AD64" s="3"/>
      <c r="AF64" s="36"/>
      <c r="AG64" s="8" t="s">
        <v>47</v>
      </c>
      <c r="AH64" s="15"/>
      <c r="AI64" s="15">
        <f>AH64*(33/30)</f>
        <v>0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/>
      <c r="S65" s="16">
        <f t="shared" si="5"/>
        <v>0</v>
      </c>
      <c r="T65" s="13" t="s">
        <v>37</v>
      </c>
      <c r="U65" s="3" t="s">
        <v>43</v>
      </c>
      <c r="V65" s="3"/>
      <c r="X65" s="25"/>
      <c r="Y65" s="4" t="s">
        <v>20</v>
      </c>
      <c r="Z65" s="16"/>
      <c r="AA65" s="16">
        <f t="shared" si="6"/>
        <v>0</v>
      </c>
      <c r="AB65" s="13" t="s">
        <v>37</v>
      </c>
      <c r="AC65" s="3" t="s">
        <v>43</v>
      </c>
      <c r="AD65" s="3"/>
      <c r="AF65" s="25"/>
      <c r="AG65" s="4" t="s">
        <v>20</v>
      </c>
      <c r="AH65" s="16"/>
      <c r="AI65" s="16">
        <f t="shared" si="7"/>
        <v>0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22">
        <v>295.08973800000001</v>
      </c>
      <c r="S66" s="22">
        <f>R66*(36/36)</f>
        <v>295.08973800000001</v>
      </c>
      <c r="T66" s="3" t="s">
        <v>37</v>
      </c>
      <c r="U66" s="3" t="s">
        <v>43</v>
      </c>
      <c r="V66" s="3"/>
      <c r="X66" s="26" t="s">
        <v>34</v>
      </c>
      <c r="Y66" s="27"/>
      <c r="Z66" s="22">
        <v>189.05129399999998</v>
      </c>
      <c r="AA66" s="22">
        <f>Z66*(36/36)</f>
        <v>189.05129399999998</v>
      </c>
      <c r="AB66" s="3" t="s">
        <v>37</v>
      </c>
      <c r="AC66" s="3" t="s">
        <v>43</v>
      </c>
      <c r="AD66" s="3"/>
      <c r="AF66" s="26" t="s">
        <v>34</v>
      </c>
      <c r="AG66" s="27"/>
      <c r="AH66" s="22">
        <v>139.4</v>
      </c>
      <c r="AI66" s="22">
        <f>AH66*(36/36)</f>
        <v>139.4</v>
      </c>
      <c r="AJ66" s="3" t="s">
        <v>37</v>
      </c>
      <c r="AK66" s="3" t="s">
        <v>43</v>
      </c>
      <c r="AL66" s="3"/>
    </row>
    <row r="67" spans="16:38" ht="15" thickBot="1" x14ac:dyDescent="0.4">
      <c r="P67" s="28" t="s">
        <v>21</v>
      </c>
      <c r="Q67" s="8" t="s">
        <v>46</v>
      </c>
      <c r="R67" s="15"/>
      <c r="S67" s="15">
        <f t="shared" si="5"/>
        <v>0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/>
      <c r="AA67" s="15">
        <f t="shared" ref="AA67:AA75" si="8">Z67*(36/33)</f>
        <v>0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21"/>
      <c r="AI67" s="21">
        <f>AH67*(36/33)</f>
        <v>0</v>
      </c>
      <c r="AJ67" s="3" t="s">
        <v>37</v>
      </c>
      <c r="AK67" s="3" t="s">
        <v>43</v>
      </c>
      <c r="AL67" s="3"/>
    </row>
    <row r="68" spans="16:38" ht="15" thickBot="1" x14ac:dyDescent="0.4">
      <c r="P68" s="37"/>
      <c r="Q68" s="8" t="s">
        <v>47</v>
      </c>
      <c r="R68" s="15"/>
      <c r="S68" s="15">
        <f>R68*(36/33)</f>
        <v>0</v>
      </c>
      <c r="T68" s="3"/>
      <c r="U68" s="3"/>
      <c r="V68" s="3"/>
      <c r="X68" s="37"/>
      <c r="Y68" s="8" t="s">
        <v>47</v>
      </c>
      <c r="Z68" s="15"/>
      <c r="AA68" s="15">
        <f>Z68*(33/30)</f>
        <v>0</v>
      </c>
      <c r="AB68" s="3"/>
      <c r="AC68" s="3"/>
      <c r="AD68" s="3"/>
      <c r="AF68" s="37"/>
      <c r="AG68" s="8" t="s">
        <v>47</v>
      </c>
      <c r="AH68" s="21"/>
      <c r="AI68" s="21">
        <f>AH68*(33/30)</f>
        <v>0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/>
      <c r="S69" s="16">
        <f t="shared" si="5"/>
        <v>0</v>
      </c>
      <c r="T69" s="13" t="s">
        <v>37</v>
      </c>
      <c r="U69" s="3" t="s">
        <v>43</v>
      </c>
      <c r="V69" s="3"/>
      <c r="X69" s="29"/>
      <c r="Y69" s="4" t="s">
        <v>20</v>
      </c>
      <c r="Z69" s="16"/>
      <c r="AA69" s="16">
        <f t="shared" si="8"/>
        <v>0</v>
      </c>
      <c r="AB69" s="13" t="s">
        <v>37</v>
      </c>
      <c r="AC69" s="3" t="s">
        <v>43</v>
      </c>
      <c r="AD69" s="3"/>
      <c r="AF69" s="29"/>
      <c r="AG69" s="4" t="s">
        <v>20</v>
      </c>
      <c r="AH69" s="23"/>
      <c r="AI69" s="23">
        <f t="shared" ref="AI69:AI75" si="9">AH69*(36/33)</f>
        <v>0</v>
      </c>
      <c r="AJ69" s="13" t="s">
        <v>37</v>
      </c>
      <c r="AK69" s="3" t="s">
        <v>43</v>
      </c>
      <c r="AL69" s="3"/>
    </row>
    <row r="70" spans="16:38" ht="15" thickBot="1" x14ac:dyDescent="0.4">
      <c r="P70" s="28" t="s">
        <v>22</v>
      </c>
      <c r="Q70" s="8" t="s">
        <v>46</v>
      </c>
      <c r="R70" s="15"/>
      <c r="S70" s="15">
        <f t="shared" si="5"/>
        <v>0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/>
      <c r="AA70" s="15">
        <f t="shared" si="8"/>
        <v>0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21"/>
      <c r="AI70" s="21">
        <f t="shared" si="9"/>
        <v>0</v>
      </c>
      <c r="AJ70" s="3" t="s">
        <v>37</v>
      </c>
      <c r="AK70" s="3" t="s">
        <v>43</v>
      </c>
      <c r="AL70" s="3"/>
    </row>
    <row r="71" spans="16:38" ht="15" thickBot="1" x14ac:dyDescent="0.4">
      <c r="P71" s="37"/>
      <c r="Q71" s="8" t="s">
        <v>47</v>
      </c>
      <c r="R71" s="15"/>
      <c r="S71" s="15">
        <f>R71*(36/33)</f>
        <v>0</v>
      </c>
      <c r="T71" s="3"/>
      <c r="U71" s="3"/>
      <c r="V71" s="3"/>
      <c r="X71" s="37"/>
      <c r="Y71" s="8" t="s">
        <v>47</v>
      </c>
      <c r="Z71" s="15"/>
      <c r="AA71" s="15">
        <f>Z71*(33/30)</f>
        <v>0</v>
      </c>
      <c r="AB71" s="3"/>
      <c r="AC71" s="3"/>
      <c r="AD71" s="3"/>
      <c r="AF71" s="37"/>
      <c r="AG71" s="8" t="s">
        <v>47</v>
      </c>
      <c r="AH71" s="21"/>
      <c r="AI71" s="21">
        <f>AH71*(33/30)</f>
        <v>0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/>
      <c r="S72" s="16">
        <f t="shared" si="5"/>
        <v>0</v>
      </c>
      <c r="T72" s="13" t="s">
        <v>37</v>
      </c>
      <c r="U72" s="3" t="s">
        <v>43</v>
      </c>
      <c r="V72" s="3"/>
      <c r="X72" s="29"/>
      <c r="Y72" s="4" t="s">
        <v>20</v>
      </c>
      <c r="Z72" s="16"/>
      <c r="AA72" s="16">
        <f t="shared" si="8"/>
        <v>0</v>
      </c>
      <c r="AB72" s="13" t="s">
        <v>37</v>
      </c>
      <c r="AC72" s="3" t="s">
        <v>43</v>
      </c>
      <c r="AD72" s="3"/>
      <c r="AF72" s="29"/>
      <c r="AG72" s="4" t="s">
        <v>20</v>
      </c>
      <c r="AH72" s="23"/>
      <c r="AI72" s="23">
        <f t="shared" si="9"/>
        <v>0</v>
      </c>
      <c r="AJ72" s="13" t="s">
        <v>37</v>
      </c>
      <c r="AK72" s="3" t="s">
        <v>43</v>
      </c>
      <c r="AL72" s="3"/>
    </row>
    <row r="73" spans="16:38" ht="15" thickBot="1" x14ac:dyDescent="0.4">
      <c r="P73" s="24" t="s">
        <v>35</v>
      </c>
      <c r="Q73" s="8" t="s">
        <v>46</v>
      </c>
      <c r="R73" s="15"/>
      <c r="S73" s="15">
        <f t="shared" si="5"/>
        <v>0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/>
      <c r="AA73" s="15">
        <f t="shared" si="8"/>
        <v>0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21"/>
      <c r="AI73" s="21">
        <f t="shared" si="9"/>
        <v>0</v>
      </c>
      <c r="AJ73" s="3" t="s">
        <v>37</v>
      </c>
      <c r="AK73" s="3" t="s">
        <v>43</v>
      </c>
      <c r="AL73" s="3"/>
    </row>
    <row r="74" spans="16:38" ht="15" thickBot="1" x14ac:dyDescent="0.4">
      <c r="P74" s="36"/>
      <c r="Q74" s="8" t="s">
        <v>47</v>
      </c>
      <c r="R74" s="15"/>
      <c r="S74" s="15">
        <f>R74*(36/33)</f>
        <v>0</v>
      </c>
      <c r="T74" s="3"/>
      <c r="U74" s="3"/>
      <c r="V74" s="3"/>
      <c r="X74" s="36"/>
      <c r="Y74" s="8" t="s">
        <v>47</v>
      </c>
      <c r="Z74" s="15"/>
      <c r="AA74" s="15">
        <f>Z74*(33/30)</f>
        <v>0</v>
      </c>
      <c r="AB74" s="3"/>
      <c r="AC74" s="3"/>
      <c r="AD74" s="3"/>
      <c r="AF74" s="36"/>
      <c r="AG74" s="8" t="s">
        <v>47</v>
      </c>
      <c r="AH74" s="21"/>
      <c r="AI74" s="21">
        <f>AH74*(33/30)</f>
        <v>0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/>
      <c r="S75" s="16">
        <f t="shared" si="5"/>
        <v>0</v>
      </c>
      <c r="T75" s="13" t="s">
        <v>37</v>
      </c>
      <c r="U75" s="3" t="s">
        <v>43</v>
      </c>
      <c r="V75" s="3"/>
      <c r="X75" s="25"/>
      <c r="Y75" s="4" t="s">
        <v>20</v>
      </c>
      <c r="Z75" s="16"/>
      <c r="AA75" s="16">
        <f t="shared" si="8"/>
        <v>0</v>
      </c>
      <c r="AB75" s="13" t="s">
        <v>37</v>
      </c>
      <c r="AC75" s="3" t="s">
        <v>43</v>
      </c>
      <c r="AD75" s="3"/>
      <c r="AF75" s="25"/>
      <c r="AG75" s="4" t="s">
        <v>20</v>
      </c>
      <c r="AH75" s="23"/>
      <c r="AI75" s="23">
        <f t="shared" si="9"/>
        <v>0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22">
        <v>315.70313599999997</v>
      </c>
      <c r="S76" s="22">
        <f>R76*(36/36)</f>
        <v>315.70313599999997</v>
      </c>
      <c r="T76" s="3" t="s">
        <v>37</v>
      </c>
      <c r="U76" s="3" t="s">
        <v>43</v>
      </c>
      <c r="V76" s="3"/>
      <c r="X76" s="26" t="s">
        <v>23</v>
      </c>
      <c r="Y76" s="27"/>
      <c r="Z76" s="22">
        <v>198.49409399999999</v>
      </c>
      <c r="AA76" s="22">
        <f>Z76*(36/36)</f>
        <v>198.49409399999999</v>
      </c>
      <c r="AB76" s="3" t="s">
        <v>37</v>
      </c>
      <c r="AC76" s="3" t="s">
        <v>43</v>
      </c>
      <c r="AD76" s="3"/>
      <c r="AF76" s="26" t="s">
        <v>23</v>
      </c>
      <c r="AG76" s="27"/>
      <c r="AH76" s="22">
        <v>140.80000000000001</v>
      </c>
      <c r="AI76" s="22">
        <f>AH76*(36/36)</f>
        <v>140.80000000000001</v>
      </c>
      <c r="AJ76" s="3" t="s">
        <v>37</v>
      </c>
      <c r="AK76" s="3" t="s">
        <v>43</v>
      </c>
      <c r="AL76" s="3"/>
    </row>
  </sheetData>
  <mergeCells count="150">
    <mergeCell ref="P73:P75"/>
    <mergeCell ref="X73:X75"/>
    <mergeCell ref="AF73:AF75"/>
    <mergeCell ref="P76:Q76"/>
    <mergeCell ref="X76:Y76"/>
    <mergeCell ref="AF76:AG76"/>
    <mergeCell ref="P67:P69"/>
    <mergeCell ref="X67:X69"/>
    <mergeCell ref="AF67:AF69"/>
    <mergeCell ref="P70:P72"/>
    <mergeCell ref="X70:X72"/>
    <mergeCell ref="AF70:AF72"/>
    <mergeCell ref="P63:P65"/>
    <mergeCell ref="X63:X65"/>
    <mergeCell ref="AF63:AF65"/>
    <mergeCell ref="P66:Q66"/>
    <mergeCell ref="X66:Y66"/>
    <mergeCell ref="AF66:AG66"/>
    <mergeCell ref="P57:P59"/>
    <mergeCell ref="X57:X59"/>
    <mergeCell ref="AF57:AF59"/>
    <mergeCell ref="P60:P62"/>
    <mergeCell ref="X60:X62"/>
    <mergeCell ref="AF60:AF62"/>
    <mergeCell ref="P55:Q55"/>
    <mergeCell ref="X55:Y55"/>
    <mergeCell ref="AF55:AG55"/>
    <mergeCell ref="P56:Q56"/>
    <mergeCell ref="X56:Y56"/>
    <mergeCell ref="AF56:AG56"/>
    <mergeCell ref="P53:Q53"/>
    <mergeCell ref="X53:Y53"/>
    <mergeCell ref="AF53:AG53"/>
    <mergeCell ref="P54:Q54"/>
    <mergeCell ref="X54:Y54"/>
    <mergeCell ref="AF54:AG54"/>
    <mergeCell ref="P51:Q51"/>
    <mergeCell ref="X51:Y51"/>
    <mergeCell ref="AF51:AG51"/>
    <mergeCell ref="P52:Q52"/>
    <mergeCell ref="X52:Y52"/>
    <mergeCell ref="AF52:AG52"/>
    <mergeCell ref="P49:Q49"/>
    <mergeCell ref="X49:Y49"/>
    <mergeCell ref="AF49:AG49"/>
    <mergeCell ref="P50:Q50"/>
    <mergeCell ref="X50:Y50"/>
    <mergeCell ref="AF50:AG50"/>
    <mergeCell ref="P47:Q47"/>
    <mergeCell ref="X47:Y47"/>
    <mergeCell ref="AF47:AG47"/>
    <mergeCell ref="P48:Q48"/>
    <mergeCell ref="X48:Y48"/>
    <mergeCell ref="AF48:AG48"/>
    <mergeCell ref="P45:Q45"/>
    <mergeCell ref="X45:Y45"/>
    <mergeCell ref="AF45:AG45"/>
    <mergeCell ref="P46:Q46"/>
    <mergeCell ref="X46:Y46"/>
    <mergeCell ref="AF46:AG46"/>
    <mergeCell ref="P43:Q43"/>
    <mergeCell ref="X43:Y43"/>
    <mergeCell ref="AF43:AG43"/>
    <mergeCell ref="P44:Q44"/>
    <mergeCell ref="X44:Y44"/>
    <mergeCell ref="AF44:AG44"/>
    <mergeCell ref="P41:Q41"/>
    <mergeCell ref="X41:Y41"/>
    <mergeCell ref="AF41:AG41"/>
    <mergeCell ref="P42:Q42"/>
    <mergeCell ref="X42:Y42"/>
    <mergeCell ref="AF42:AG42"/>
    <mergeCell ref="P37:Q37"/>
    <mergeCell ref="X37:Y37"/>
    <mergeCell ref="AF37:AG37"/>
    <mergeCell ref="P40:Q40"/>
    <mergeCell ref="X40:Y40"/>
    <mergeCell ref="AF40:AG40"/>
    <mergeCell ref="P31:P33"/>
    <mergeCell ref="X31:X33"/>
    <mergeCell ref="AF31:AF33"/>
    <mergeCell ref="P34:P36"/>
    <mergeCell ref="X34:X36"/>
    <mergeCell ref="AF34:AF36"/>
    <mergeCell ref="P27:Q27"/>
    <mergeCell ref="X27:Y27"/>
    <mergeCell ref="AF27:AG27"/>
    <mergeCell ref="P28:P30"/>
    <mergeCell ref="X28:X30"/>
    <mergeCell ref="AF28:AF30"/>
    <mergeCell ref="P21:P23"/>
    <mergeCell ref="X21:X23"/>
    <mergeCell ref="AF21:AF23"/>
    <mergeCell ref="P24:P26"/>
    <mergeCell ref="X24:X26"/>
    <mergeCell ref="AF24:AF26"/>
    <mergeCell ref="P17:Q17"/>
    <mergeCell ref="X17:Y17"/>
    <mergeCell ref="AF17:AG17"/>
    <mergeCell ref="P18:P20"/>
    <mergeCell ref="X18:X20"/>
    <mergeCell ref="AF18:AF20"/>
    <mergeCell ref="P15:Q15"/>
    <mergeCell ref="X15:Y15"/>
    <mergeCell ref="AF15:AG15"/>
    <mergeCell ref="P16:Q16"/>
    <mergeCell ref="X16:Y16"/>
    <mergeCell ref="AF16:AG16"/>
    <mergeCell ref="P13:Q13"/>
    <mergeCell ref="X13:Y13"/>
    <mergeCell ref="AF13:AG13"/>
    <mergeCell ref="P14:Q14"/>
    <mergeCell ref="X14:Y14"/>
    <mergeCell ref="AF14:AG14"/>
    <mergeCell ref="P11:Q11"/>
    <mergeCell ref="X11:Y11"/>
    <mergeCell ref="AF11:AG11"/>
    <mergeCell ref="P12:Q12"/>
    <mergeCell ref="X12:Y12"/>
    <mergeCell ref="AF12:AG12"/>
    <mergeCell ref="P9:Q9"/>
    <mergeCell ref="X9:Y9"/>
    <mergeCell ref="AF9:AG9"/>
    <mergeCell ref="P10:Q10"/>
    <mergeCell ref="X10:Y10"/>
    <mergeCell ref="AF10:AG10"/>
    <mergeCell ref="P7:Q7"/>
    <mergeCell ref="X7:Y7"/>
    <mergeCell ref="AF7:AG7"/>
    <mergeCell ref="P8:Q8"/>
    <mergeCell ref="X8:Y8"/>
    <mergeCell ref="AF8:AG8"/>
    <mergeCell ref="P6:Q6"/>
    <mergeCell ref="X6:Y6"/>
    <mergeCell ref="AF6:AG6"/>
    <mergeCell ref="P3:Q3"/>
    <mergeCell ref="X3:Y3"/>
    <mergeCell ref="AF3:AG3"/>
    <mergeCell ref="P4:Q4"/>
    <mergeCell ref="X4:Y4"/>
    <mergeCell ref="AF4:AG4"/>
    <mergeCell ref="P1:Q1"/>
    <mergeCell ref="X1:Y1"/>
    <mergeCell ref="AF1:AG1"/>
    <mergeCell ref="P2:Q2"/>
    <mergeCell ref="X2:Y2"/>
    <mergeCell ref="AF2:AG2"/>
    <mergeCell ref="P5:Q5"/>
    <mergeCell ref="X5:Y5"/>
    <mergeCell ref="AF5:AG5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08A7-5128-4F2D-9445-A8FCD9BBA1BA}">
  <sheetPr>
    <tabColor rgb="FF92D050"/>
  </sheetPr>
  <dimension ref="O1:AL94"/>
  <sheetViews>
    <sheetView workbookViewId="0">
      <selection sqref="A1:N104857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6" max="16" width="26.1796875" customWidth="1"/>
    <col min="17" max="17" width="17.453125" customWidth="1"/>
    <col min="18" max="18" width="11.54296875" bestFit="1" customWidth="1"/>
    <col min="24" max="24" width="26.1796875" customWidth="1"/>
    <col min="25" max="25" width="19" customWidth="1"/>
    <col min="26" max="26" width="11.54296875" bestFit="1" customWidth="1"/>
    <col min="32" max="32" width="26.1796875" customWidth="1"/>
    <col min="33" max="33" width="19.17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25</v>
      </c>
      <c r="S1" s="1"/>
      <c r="T1" s="1"/>
      <c r="U1" s="1"/>
      <c r="V1" s="1"/>
      <c r="X1" s="34" t="s">
        <v>0</v>
      </c>
      <c r="Y1" s="35"/>
      <c r="Z1" s="1" t="s">
        <v>25</v>
      </c>
      <c r="AA1" s="1"/>
      <c r="AB1" s="1"/>
      <c r="AC1" s="1"/>
      <c r="AD1" s="1"/>
      <c r="AF1" s="34" t="s">
        <v>0</v>
      </c>
      <c r="AG1" s="35"/>
      <c r="AH1" s="1" t="s">
        <v>25</v>
      </c>
      <c r="AI1" s="1"/>
      <c r="AJ1" s="1"/>
      <c r="AK1" s="1"/>
      <c r="AL1" s="1"/>
    </row>
    <row r="2" spans="15:38" ht="15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customHeight="1" thickBot="1" x14ac:dyDescent="0.4">
      <c r="P18" s="28" t="s">
        <v>31</v>
      </c>
      <c r="Q18" s="8" t="s">
        <v>46</v>
      </c>
      <c r="R18" s="15">
        <v>237.924136</v>
      </c>
      <c r="S18" s="15">
        <f>R18*(33/30)</f>
        <v>261.71654960000001</v>
      </c>
      <c r="T18" s="5" t="s">
        <v>37</v>
      </c>
      <c r="U18" s="5" t="s">
        <v>43</v>
      </c>
      <c r="V18" s="5"/>
      <c r="X18" s="28" t="s">
        <v>31</v>
      </c>
      <c r="Y18" s="8" t="s">
        <v>46</v>
      </c>
      <c r="Z18" s="15">
        <v>80.831584000000007</v>
      </c>
      <c r="AA18" s="15">
        <f>Z18*(33/30)</f>
        <v>88.914742400000009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15">
        <v>52.857607999999999</v>
      </c>
      <c r="AI18" s="15">
        <f>AH18*(33/30)</f>
        <v>58.143368800000005</v>
      </c>
      <c r="AJ18" s="5" t="s">
        <v>37</v>
      </c>
      <c r="AK18" s="5" t="s">
        <v>43</v>
      </c>
      <c r="AL18" s="5"/>
    </row>
    <row r="19" spans="16:38" ht="15" customHeight="1" thickBot="1" x14ac:dyDescent="0.4">
      <c r="P19" s="37"/>
      <c r="Q19" s="8" t="s">
        <v>47</v>
      </c>
      <c r="R19" s="15">
        <v>228.96671000000001</v>
      </c>
      <c r="S19" s="15">
        <f>R19*(33/30)</f>
        <v>251.86338100000003</v>
      </c>
      <c r="T19" s="5"/>
      <c r="U19" s="5"/>
      <c r="V19" s="5"/>
      <c r="X19" s="37"/>
      <c r="Y19" s="8" t="s">
        <v>47</v>
      </c>
      <c r="Z19" s="15">
        <v>82.687432000000001</v>
      </c>
      <c r="AA19" s="15">
        <f>Z19*(33/30)</f>
        <v>90.956175200000004</v>
      </c>
      <c r="AB19" s="5"/>
      <c r="AC19" s="5"/>
      <c r="AD19" s="5"/>
      <c r="AF19" s="37"/>
      <c r="AG19" s="8" t="s">
        <v>47</v>
      </c>
      <c r="AH19" s="15">
        <v>52.492240000000002</v>
      </c>
      <c r="AI19" s="15">
        <f>AH19*(33/30)</f>
        <v>57.741464000000008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231.05079000000001</v>
      </c>
      <c r="S20" s="16">
        <f>R20*(33/30)</f>
        <v>254.15586900000002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83.623908</v>
      </c>
      <c r="AA20" s="16">
        <f>Z20*(33/30)</f>
        <v>91.986298800000014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52.481115000000003</v>
      </c>
      <c r="AI20" s="16">
        <f>AH20*(33/30)</f>
        <v>57.72922650000001</v>
      </c>
      <c r="AJ20" s="12" t="s">
        <v>37</v>
      </c>
      <c r="AK20" s="5" t="s">
        <v>43</v>
      </c>
      <c r="AL20" s="5"/>
    </row>
    <row r="21" spans="16:38" ht="15" customHeight="1" thickBot="1" x14ac:dyDescent="0.4">
      <c r="P21" s="24" t="s">
        <v>32</v>
      </c>
      <c r="Q21" s="8" t="s">
        <v>46</v>
      </c>
      <c r="R21" s="15">
        <v>88.525586000000004</v>
      </c>
      <c r="S21" s="15">
        <f>R21*(33/30)</f>
        <v>97.378144600000013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46.638424000000001</v>
      </c>
      <c r="AA21" s="15">
        <f>Z21*(33/30)</f>
        <v>51.302266400000008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15">
        <v>25.970224000000002</v>
      </c>
      <c r="AI21" s="15">
        <f>AH21*(33/30)</f>
        <v>28.567246400000005</v>
      </c>
      <c r="AJ21" s="5" t="s">
        <v>37</v>
      </c>
      <c r="AK21" s="5" t="s">
        <v>43</v>
      </c>
      <c r="AL21" s="5"/>
    </row>
    <row r="22" spans="16:38" ht="15" customHeight="1" thickBot="1" x14ac:dyDescent="0.4">
      <c r="P22" s="36"/>
      <c r="Q22" s="8" t="s">
        <v>47</v>
      </c>
      <c r="R22" s="15">
        <v>64.188311999999996</v>
      </c>
      <c r="S22" s="15">
        <f>R22*(33/30)</f>
        <v>70.607143199999996</v>
      </c>
      <c r="T22" s="5"/>
      <c r="U22" s="5"/>
      <c r="V22" s="5"/>
      <c r="X22" s="36"/>
      <c r="Y22" s="8" t="s">
        <v>47</v>
      </c>
      <c r="Z22" s="15">
        <v>35.035524000000002</v>
      </c>
      <c r="AA22" s="15">
        <f>Z22*(33/30)</f>
        <v>38.539076400000006</v>
      </c>
      <c r="AB22" s="5"/>
      <c r="AC22" s="5"/>
      <c r="AD22" s="5"/>
      <c r="AF22" s="36"/>
      <c r="AG22" s="8" t="s">
        <v>47</v>
      </c>
      <c r="AH22" s="15">
        <v>19.599053000000001</v>
      </c>
      <c r="AI22" s="15">
        <f>AH22*(33/30)</f>
        <v>21.558958300000004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66.631252000000003</v>
      </c>
      <c r="S23" s="16">
        <f t="shared" ref="S23:S36" si="0">R23*(33/30)</f>
        <v>73.294377200000014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34.068908</v>
      </c>
      <c r="AA23" s="16">
        <f t="shared" ref="AA23:AA26" si="1">Z23*(33/30)</f>
        <v>37.475798800000007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22.550618</v>
      </c>
      <c r="AI23" s="16">
        <f t="shared" ref="AI23:AI26" si="2">AH23*(33/30)</f>
        <v>24.805679800000004</v>
      </c>
      <c r="AJ23" s="12" t="s">
        <v>37</v>
      </c>
      <c r="AK23" s="5" t="s">
        <v>43</v>
      </c>
      <c r="AL23" s="5"/>
    </row>
    <row r="24" spans="16:38" ht="15" customHeight="1" thickBot="1" x14ac:dyDescent="0.4">
      <c r="P24" s="24" t="s">
        <v>33</v>
      </c>
      <c r="Q24" s="8" t="s">
        <v>46</v>
      </c>
      <c r="R24" s="15">
        <v>235.154844</v>
      </c>
      <c r="S24" s="15">
        <f t="shared" si="0"/>
        <v>258.67032840000002</v>
      </c>
      <c r="T24" s="5" t="s">
        <v>37</v>
      </c>
      <c r="U24" s="5" t="s">
        <v>43</v>
      </c>
      <c r="V24" s="5"/>
      <c r="X24" s="24" t="s">
        <v>33</v>
      </c>
      <c r="Y24" s="8" t="s">
        <v>19</v>
      </c>
      <c r="Z24" s="15">
        <v>54.766399999999997</v>
      </c>
      <c r="AA24" s="15">
        <f t="shared" si="1"/>
        <v>60.243040000000001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15">
        <v>34.840507000000002</v>
      </c>
      <c r="AI24" s="15">
        <f t="shared" si="2"/>
        <v>38.324557700000007</v>
      </c>
      <c r="AJ24" s="5" t="s">
        <v>37</v>
      </c>
      <c r="AK24" s="5" t="s">
        <v>43</v>
      </c>
      <c r="AL24" s="5"/>
    </row>
    <row r="25" spans="16:38" ht="15" customHeight="1" thickBot="1" x14ac:dyDescent="0.4">
      <c r="P25" s="36"/>
      <c r="Q25" s="8" t="s">
        <v>47</v>
      </c>
      <c r="R25" s="15">
        <v>166.43382600000001</v>
      </c>
      <c r="S25" s="15">
        <f t="shared" si="0"/>
        <v>183.07720860000003</v>
      </c>
      <c r="T25" s="5"/>
      <c r="U25" s="5"/>
      <c r="V25" s="5"/>
      <c r="X25" s="36"/>
      <c r="Y25" s="8" t="s">
        <v>47</v>
      </c>
      <c r="Z25" s="15">
        <v>50.820504</v>
      </c>
      <c r="AA25" s="15">
        <f t="shared" si="1"/>
        <v>55.902554400000007</v>
      </c>
      <c r="AB25" s="5"/>
      <c r="AC25" s="5"/>
      <c r="AD25" s="5"/>
      <c r="AF25" s="36"/>
      <c r="AG25" s="8" t="s">
        <v>47</v>
      </c>
      <c r="AH25" s="15">
        <v>29.879916000000001</v>
      </c>
      <c r="AI25" s="15">
        <f t="shared" si="2"/>
        <v>32.867907600000002</v>
      </c>
      <c r="AJ25" s="5"/>
      <c r="AK25" s="5"/>
      <c r="AL25" s="5"/>
    </row>
    <row r="26" spans="16:38" ht="15" thickBot="1" x14ac:dyDescent="0.4">
      <c r="P26" s="25"/>
      <c r="Q26" s="4" t="s">
        <v>20</v>
      </c>
      <c r="R26" s="16">
        <v>166.50994800000001</v>
      </c>
      <c r="S26" s="16">
        <f t="shared" si="0"/>
        <v>183.16094280000002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52.793888000000003</v>
      </c>
      <c r="AA26" s="16">
        <f t="shared" si="1"/>
        <v>58.073276800000009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31.6928795</v>
      </c>
      <c r="AI26" s="16">
        <f t="shared" si="2"/>
        <v>34.862167450000001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17">
        <v>276.39055999999999</v>
      </c>
      <c r="S27" s="17">
        <f>R27*(33/33)</f>
        <v>276.39055999999999</v>
      </c>
      <c r="T27" s="5" t="s">
        <v>37</v>
      </c>
      <c r="U27" s="5" t="s">
        <v>43</v>
      </c>
      <c r="V27" s="5"/>
      <c r="X27" s="26" t="s">
        <v>34</v>
      </c>
      <c r="Y27" s="27"/>
      <c r="Z27" s="17">
        <v>178.26162625000001</v>
      </c>
      <c r="AA27" s="17">
        <f>Z27*(33/33)</f>
        <v>178.26162625000001</v>
      </c>
      <c r="AB27" s="5" t="s">
        <v>37</v>
      </c>
      <c r="AC27" s="5" t="s">
        <v>43</v>
      </c>
      <c r="AD27" s="5"/>
      <c r="AF27" s="26" t="s">
        <v>34</v>
      </c>
      <c r="AG27" s="27"/>
      <c r="AH27" s="17">
        <v>170.5</v>
      </c>
      <c r="AI27" s="17">
        <f>AH27*(33/33)</f>
        <v>170.5</v>
      </c>
      <c r="AJ27" s="5" t="s">
        <v>37</v>
      </c>
      <c r="AK27" s="5" t="s">
        <v>43</v>
      </c>
      <c r="AL27" s="5"/>
    </row>
    <row r="28" spans="16:38" ht="15" customHeight="1" thickBot="1" x14ac:dyDescent="0.4">
      <c r="P28" s="28" t="s">
        <v>21</v>
      </c>
      <c r="Q28" s="8" t="s">
        <v>46</v>
      </c>
      <c r="R28" s="15">
        <v>269.57084800000001</v>
      </c>
      <c r="S28" s="15">
        <f t="shared" si="0"/>
        <v>296.52793280000003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86.157079999999993</v>
      </c>
      <c r="AA28" s="15">
        <f t="shared" ref="AA28:AA36" si="3">Z28*(33/30)</f>
        <v>94.772788000000006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15">
        <v>53.011370999999997</v>
      </c>
      <c r="AI28" s="15">
        <f t="shared" ref="AI28:AI36" si="4">AH28*(33/30)</f>
        <v>58.312508100000002</v>
      </c>
      <c r="AJ28" s="5" t="s">
        <v>37</v>
      </c>
      <c r="AK28" s="5" t="s">
        <v>43</v>
      </c>
      <c r="AL28" s="5"/>
    </row>
    <row r="29" spans="16:38" ht="15" customHeight="1" thickBot="1" x14ac:dyDescent="0.4">
      <c r="P29" s="37"/>
      <c r="Q29" s="8" t="s">
        <v>47</v>
      </c>
      <c r="R29" s="15">
        <v>257.64982800000001</v>
      </c>
      <c r="S29" s="15">
        <f t="shared" si="0"/>
        <v>283.41481080000005</v>
      </c>
      <c r="T29" s="5"/>
      <c r="U29" s="5"/>
      <c r="V29" s="5"/>
      <c r="X29" s="37"/>
      <c r="Y29" s="8" t="s">
        <v>47</v>
      </c>
      <c r="Z29" s="15">
        <v>88.073055999999994</v>
      </c>
      <c r="AA29" s="15">
        <f t="shared" si="3"/>
        <v>96.880361600000001</v>
      </c>
      <c r="AB29" s="5"/>
      <c r="AC29" s="5"/>
      <c r="AD29" s="5"/>
      <c r="AF29" s="37"/>
      <c r="AG29" s="8" t="s">
        <v>47</v>
      </c>
      <c r="AH29" s="15">
        <v>52.626820000000002</v>
      </c>
      <c r="AI29" s="15">
        <f t="shared" si="4"/>
        <v>57.889502000000007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260.14454799999999</v>
      </c>
      <c r="S30" s="16">
        <f t="shared" si="0"/>
        <v>286.1590028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89.071669999999997</v>
      </c>
      <c r="AA30" s="16">
        <f t="shared" si="3"/>
        <v>97.978836999999999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52.614820999999999</v>
      </c>
      <c r="AI30" s="16">
        <f t="shared" si="4"/>
        <v>57.876303100000001</v>
      </c>
      <c r="AJ30" s="12" t="s">
        <v>37</v>
      </c>
      <c r="AK30" s="5" t="s">
        <v>43</v>
      </c>
      <c r="AL30" s="5"/>
    </row>
    <row r="31" spans="16:38" ht="15" customHeight="1" thickBot="1" x14ac:dyDescent="0.4">
      <c r="P31" s="28" t="s">
        <v>22</v>
      </c>
      <c r="Q31" s="8" t="s">
        <v>46</v>
      </c>
      <c r="R31" s="15">
        <v>100.433668</v>
      </c>
      <c r="S31" s="15">
        <f t="shared" si="0"/>
        <v>110.47703480000001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49.822712000000003</v>
      </c>
      <c r="AA31" s="15">
        <f t="shared" si="3"/>
        <v>54.804983200000009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15">
        <v>26.333563999999999</v>
      </c>
      <c r="AI31" s="15">
        <f t="shared" si="4"/>
        <v>28.966920400000003</v>
      </c>
      <c r="AJ31" s="5" t="s">
        <v>37</v>
      </c>
      <c r="AK31" s="5" t="s">
        <v>43</v>
      </c>
      <c r="AL31" s="5"/>
    </row>
    <row r="32" spans="16:38" ht="15" customHeight="1" thickBot="1" x14ac:dyDescent="0.4">
      <c r="P32" s="37"/>
      <c r="Q32" s="8" t="s">
        <v>47</v>
      </c>
      <c r="R32" s="15">
        <v>72.389315999999994</v>
      </c>
      <c r="S32" s="15">
        <f t="shared" si="0"/>
        <v>79.628247599999995</v>
      </c>
      <c r="T32" s="5"/>
      <c r="U32" s="5"/>
      <c r="V32" s="5"/>
      <c r="X32" s="37"/>
      <c r="Y32" s="8" t="s">
        <v>47</v>
      </c>
      <c r="Z32" s="15">
        <v>37.478496</v>
      </c>
      <c r="AA32" s="15">
        <f t="shared" si="3"/>
        <v>41.226345600000002</v>
      </c>
      <c r="AB32" s="5"/>
      <c r="AC32" s="5"/>
      <c r="AD32" s="5"/>
      <c r="AF32" s="37"/>
      <c r="AG32" s="8" t="s">
        <v>47</v>
      </c>
      <c r="AH32" s="15">
        <v>19.991137999999999</v>
      </c>
      <c r="AI32" s="15">
        <f t="shared" si="4"/>
        <v>21.990251800000003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75.211976000000007</v>
      </c>
      <c r="S33" s="16">
        <f t="shared" si="0"/>
        <v>82.733173600000015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36.477764000000001</v>
      </c>
      <c r="AA33" s="16">
        <f t="shared" si="3"/>
        <v>40.125540400000006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23.142534000000001</v>
      </c>
      <c r="AI33" s="16">
        <f t="shared" si="4"/>
        <v>25.456787400000003</v>
      </c>
      <c r="AJ33" s="12" t="s">
        <v>37</v>
      </c>
      <c r="AK33" s="5" t="s">
        <v>43</v>
      </c>
      <c r="AL33" s="5"/>
    </row>
    <row r="34" spans="15:38" ht="15" customHeight="1" thickBot="1" x14ac:dyDescent="0.4">
      <c r="P34" s="24" t="s">
        <v>35</v>
      </c>
      <c r="Q34" s="8" t="s">
        <v>46</v>
      </c>
      <c r="R34" s="15">
        <v>262.6210792</v>
      </c>
      <c r="S34" s="15">
        <f t="shared" si="0"/>
        <v>288.88318712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59.24906</v>
      </c>
      <c r="AA34" s="15">
        <f t="shared" si="3"/>
        <v>65.173966000000007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15">
        <v>34.867995000000001</v>
      </c>
      <c r="AI34" s="15">
        <f t="shared" si="4"/>
        <v>38.354794500000004</v>
      </c>
      <c r="AJ34" s="5" t="s">
        <v>37</v>
      </c>
      <c r="AK34" s="5" t="s">
        <v>43</v>
      </c>
      <c r="AL34" s="5"/>
    </row>
    <row r="35" spans="15:38" ht="15" customHeight="1" thickBot="1" x14ac:dyDescent="0.4">
      <c r="P35" s="36"/>
      <c r="Q35" s="8" t="s">
        <v>47</v>
      </c>
      <c r="R35" s="15">
        <v>185.314562</v>
      </c>
      <c r="S35" s="15">
        <f t="shared" si="0"/>
        <v>203.8460182</v>
      </c>
      <c r="T35" s="5"/>
      <c r="U35" s="5"/>
      <c r="V35" s="5"/>
      <c r="X35" s="36"/>
      <c r="Y35" s="8" t="s">
        <v>47</v>
      </c>
      <c r="Z35" s="15">
        <v>55.394804000000001</v>
      </c>
      <c r="AA35" s="15">
        <f t="shared" si="3"/>
        <v>60.934284400000003</v>
      </c>
      <c r="AB35" s="5"/>
      <c r="AC35" s="5"/>
      <c r="AD35" s="5"/>
      <c r="AF35" s="36"/>
      <c r="AG35" s="8" t="s">
        <v>47</v>
      </c>
      <c r="AH35" s="15">
        <v>30.125787500000001</v>
      </c>
      <c r="AI35" s="15">
        <f t="shared" si="4"/>
        <v>33.138366250000004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185.45806400000001</v>
      </c>
      <c r="S36" s="16">
        <f t="shared" si="0"/>
        <v>204.00387040000001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57.381051999999997</v>
      </c>
      <c r="AA36" s="16">
        <f t="shared" si="3"/>
        <v>63.119157200000004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31.9484095</v>
      </c>
      <c r="AI36" s="16">
        <f t="shared" si="4"/>
        <v>35.143250450000004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17">
        <v>296.29962</v>
      </c>
      <c r="S37" s="17">
        <f>R37*(33/33)</f>
        <v>296.29962</v>
      </c>
      <c r="T37" s="5" t="s">
        <v>37</v>
      </c>
      <c r="U37" s="5" t="s">
        <v>43</v>
      </c>
      <c r="V37" s="5"/>
      <c r="X37" s="26" t="s">
        <v>23</v>
      </c>
      <c r="Y37" s="27"/>
      <c r="Z37" s="17">
        <v>186.89988349999999</v>
      </c>
      <c r="AA37" s="17">
        <f>Z37*(33/33)</f>
        <v>186.89988349999999</v>
      </c>
      <c r="AB37" s="5" t="s">
        <v>37</v>
      </c>
      <c r="AC37" s="5" t="s">
        <v>43</v>
      </c>
      <c r="AD37" s="5"/>
      <c r="AF37" s="26" t="s">
        <v>23</v>
      </c>
      <c r="AG37" s="27"/>
      <c r="AH37" s="17">
        <v>176</v>
      </c>
      <c r="AI37" s="17">
        <f>AH37*(33/33)</f>
        <v>176</v>
      </c>
      <c r="AJ37" s="5" t="s">
        <v>37</v>
      </c>
      <c r="AK37" s="5" t="s">
        <v>43</v>
      </c>
      <c r="AL37" s="5"/>
    </row>
    <row r="39" spans="15:38" ht="15" thickBot="1" x14ac:dyDescent="0.4"/>
    <row r="40" spans="15:38" ht="23.5" thickBot="1" x14ac:dyDescent="0.4">
      <c r="P40" s="34" t="s">
        <v>0</v>
      </c>
      <c r="Q40" s="35"/>
      <c r="R40" s="1" t="s">
        <v>1</v>
      </c>
      <c r="S40" s="1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" t="s">
        <v>1</v>
      </c>
      <c r="AA40" s="1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" t="s">
        <v>1</v>
      </c>
      <c r="AI40" s="1"/>
      <c r="AJ40" s="1" t="s">
        <v>25</v>
      </c>
      <c r="AK40" s="1" t="s">
        <v>26</v>
      </c>
      <c r="AL40" s="1" t="s">
        <v>27</v>
      </c>
    </row>
    <row r="41" spans="15:38" ht="15" thickBot="1" x14ac:dyDescent="0.4">
      <c r="O41" s="2" t="s">
        <v>28</v>
      </c>
      <c r="P41" s="32" t="s">
        <v>3</v>
      </c>
      <c r="Q41" s="33"/>
      <c r="R41" s="3"/>
      <c r="S41" s="3"/>
      <c r="T41" s="3"/>
      <c r="U41" s="3"/>
      <c r="V41" s="3"/>
      <c r="W41" s="2" t="s">
        <v>28</v>
      </c>
      <c r="X41" s="32" t="s">
        <v>3</v>
      </c>
      <c r="Y41" s="33"/>
      <c r="Z41" s="20"/>
      <c r="AA41" s="3"/>
      <c r="AB41" s="3"/>
      <c r="AC41" s="3"/>
      <c r="AD41" s="3"/>
      <c r="AE41" s="2" t="s">
        <v>28</v>
      </c>
      <c r="AF41" s="32" t="s">
        <v>3</v>
      </c>
      <c r="AG41" s="33"/>
      <c r="AH41" s="20"/>
      <c r="AI41" s="3"/>
      <c r="AJ41" s="3"/>
      <c r="AK41" s="3"/>
      <c r="AL41" s="3"/>
    </row>
    <row r="42" spans="15:38" ht="15" thickBot="1" x14ac:dyDescent="0.4">
      <c r="O42" s="6" t="s">
        <v>44</v>
      </c>
      <c r="P42" s="30" t="s">
        <v>4</v>
      </c>
      <c r="Q42" s="31"/>
      <c r="R42" s="3"/>
      <c r="S42" s="3"/>
      <c r="T42" s="3"/>
      <c r="U42" s="3"/>
      <c r="V42" s="3"/>
      <c r="W42" s="6" t="s">
        <v>30</v>
      </c>
      <c r="X42" s="30" t="s">
        <v>4</v>
      </c>
      <c r="Y42" s="31"/>
      <c r="Z42" s="20"/>
      <c r="AA42" s="3"/>
      <c r="AB42" s="3"/>
      <c r="AC42" s="3"/>
      <c r="AD42" s="3"/>
      <c r="AE42" s="6" t="s">
        <v>45</v>
      </c>
      <c r="AF42" s="30" t="s">
        <v>4</v>
      </c>
      <c r="AG42" s="31"/>
      <c r="AH42" s="20"/>
      <c r="AI42" s="3"/>
      <c r="AJ42" s="3"/>
      <c r="AK42" s="3"/>
      <c r="AL42" s="3"/>
    </row>
    <row r="43" spans="15:38" ht="15" thickBot="1" x14ac:dyDescent="0.4">
      <c r="P43" s="32" t="s">
        <v>5</v>
      </c>
      <c r="Q43" s="33"/>
      <c r="R43" s="3"/>
      <c r="S43" s="3"/>
      <c r="T43" s="3"/>
      <c r="U43" s="3"/>
      <c r="V43" s="3"/>
      <c r="X43" s="32" t="s">
        <v>5</v>
      </c>
      <c r="Y43" s="33"/>
      <c r="Z43" s="20"/>
      <c r="AA43" s="3"/>
      <c r="AB43" s="3"/>
      <c r="AC43" s="3"/>
      <c r="AD43" s="3"/>
      <c r="AF43" s="32" t="s">
        <v>5</v>
      </c>
      <c r="AG43" s="33"/>
      <c r="AH43" s="20"/>
      <c r="AI43" s="3"/>
      <c r="AJ43" s="3"/>
      <c r="AK43" s="3"/>
      <c r="AL43" s="3"/>
    </row>
    <row r="44" spans="15:38" ht="15" thickBot="1" x14ac:dyDescent="0.4">
      <c r="P44" s="30" t="s">
        <v>6</v>
      </c>
      <c r="Q44" s="31"/>
      <c r="R44" s="3"/>
      <c r="S44" s="3"/>
      <c r="T44" s="3"/>
      <c r="U44" s="3"/>
      <c r="V44" s="3"/>
      <c r="X44" s="30" t="s">
        <v>6</v>
      </c>
      <c r="Y44" s="31"/>
      <c r="Z44" s="20"/>
      <c r="AA44" s="3"/>
      <c r="AB44" s="3"/>
      <c r="AC44" s="3"/>
      <c r="AD44" s="3"/>
      <c r="AF44" s="30" t="s">
        <v>6</v>
      </c>
      <c r="AG44" s="31"/>
      <c r="AH44" s="20"/>
      <c r="AI44" s="3"/>
      <c r="AJ44" s="3"/>
      <c r="AK44" s="3"/>
      <c r="AL44" s="3"/>
    </row>
    <row r="45" spans="15:38" ht="15" thickBot="1" x14ac:dyDescent="0.4">
      <c r="P45" s="32" t="s">
        <v>7</v>
      </c>
      <c r="Q45" s="33"/>
      <c r="R45" s="3"/>
      <c r="S45" s="3"/>
      <c r="T45" s="3"/>
      <c r="U45" s="3"/>
      <c r="V45" s="3"/>
      <c r="X45" s="32" t="s">
        <v>7</v>
      </c>
      <c r="Y45" s="33"/>
      <c r="Z45" s="20"/>
      <c r="AA45" s="3"/>
      <c r="AB45" s="3"/>
      <c r="AC45" s="3"/>
      <c r="AD45" s="3"/>
      <c r="AF45" s="32" t="s">
        <v>7</v>
      </c>
      <c r="AG45" s="33"/>
      <c r="AH45" s="20"/>
      <c r="AI45" s="3"/>
      <c r="AJ45" s="3"/>
      <c r="AK45" s="3"/>
      <c r="AL45" s="3"/>
    </row>
    <row r="46" spans="15:38" ht="15" thickBot="1" x14ac:dyDescent="0.4">
      <c r="P46" s="30" t="s">
        <v>8</v>
      </c>
      <c r="Q46" s="31"/>
      <c r="R46" s="3"/>
      <c r="S46" s="3"/>
      <c r="T46" s="3"/>
      <c r="U46" s="3"/>
      <c r="V46" s="3"/>
      <c r="X46" s="30" t="s">
        <v>8</v>
      </c>
      <c r="Y46" s="31"/>
      <c r="Z46" s="20"/>
      <c r="AA46" s="3"/>
      <c r="AB46" s="3"/>
      <c r="AC46" s="3"/>
      <c r="AD46" s="3"/>
      <c r="AF46" s="30" t="s">
        <v>8</v>
      </c>
      <c r="AG46" s="31"/>
      <c r="AH46" s="20"/>
      <c r="AI46" s="3"/>
      <c r="AJ46" s="3"/>
      <c r="AK46" s="3"/>
      <c r="AL46" s="3"/>
    </row>
    <row r="47" spans="15:38" ht="15" thickBot="1" x14ac:dyDescent="0.4">
      <c r="P47" s="32" t="s">
        <v>9</v>
      </c>
      <c r="Q47" s="33"/>
      <c r="R47" s="3"/>
      <c r="S47" s="3"/>
      <c r="T47" s="3"/>
      <c r="U47" s="3"/>
      <c r="V47" s="3"/>
      <c r="X47" s="32" t="s">
        <v>9</v>
      </c>
      <c r="Y47" s="33"/>
      <c r="Z47" s="20"/>
      <c r="AA47" s="3"/>
      <c r="AB47" s="3"/>
      <c r="AC47" s="3"/>
      <c r="AD47" s="3"/>
      <c r="AF47" s="32" t="s">
        <v>9</v>
      </c>
      <c r="AG47" s="33"/>
      <c r="AH47" s="20"/>
      <c r="AI47" s="3"/>
      <c r="AJ47" s="3"/>
      <c r="AK47" s="3"/>
      <c r="AL47" s="3"/>
    </row>
    <row r="48" spans="15:38" ht="15" thickBot="1" x14ac:dyDescent="0.4">
      <c r="P48" s="30" t="s">
        <v>10</v>
      </c>
      <c r="Q48" s="31"/>
      <c r="R48" s="3"/>
      <c r="S48" s="3"/>
      <c r="T48" s="3"/>
      <c r="U48" s="3"/>
      <c r="V48" s="3"/>
      <c r="X48" s="30" t="s">
        <v>10</v>
      </c>
      <c r="Y48" s="31"/>
      <c r="Z48" s="20"/>
      <c r="AA48" s="3"/>
      <c r="AB48" s="3"/>
      <c r="AC48" s="3"/>
      <c r="AD48" s="3"/>
      <c r="AF48" s="30" t="s">
        <v>10</v>
      </c>
      <c r="AG48" s="31"/>
      <c r="AH48" s="20"/>
      <c r="AI48" s="3"/>
      <c r="AJ48" s="3"/>
      <c r="AK48" s="3"/>
      <c r="AL48" s="3"/>
    </row>
    <row r="49" spans="16:38" ht="15" thickBot="1" x14ac:dyDescent="0.4">
      <c r="P49" s="32" t="s">
        <v>11</v>
      </c>
      <c r="Q49" s="33"/>
      <c r="R49" s="3"/>
      <c r="S49" s="3"/>
      <c r="T49" s="3"/>
      <c r="U49" s="3"/>
      <c r="V49" s="3"/>
      <c r="X49" s="32" t="s">
        <v>11</v>
      </c>
      <c r="Y49" s="33"/>
      <c r="Z49" s="20"/>
      <c r="AA49" s="3"/>
      <c r="AB49" s="3"/>
      <c r="AC49" s="3"/>
      <c r="AD49" s="3"/>
      <c r="AF49" s="32" t="s">
        <v>11</v>
      </c>
      <c r="AG49" s="33"/>
      <c r="AH49" s="20"/>
      <c r="AI49" s="3"/>
      <c r="AJ49" s="3"/>
      <c r="AK49" s="3"/>
      <c r="AL49" s="3"/>
    </row>
    <row r="50" spans="16:38" ht="15" thickBot="1" x14ac:dyDescent="0.4">
      <c r="P50" s="30" t="s">
        <v>12</v>
      </c>
      <c r="Q50" s="31"/>
      <c r="R50" s="3"/>
      <c r="S50" s="3"/>
      <c r="T50" s="3"/>
      <c r="U50" s="3"/>
      <c r="V50" s="3"/>
      <c r="X50" s="30" t="s">
        <v>12</v>
      </c>
      <c r="Y50" s="31"/>
      <c r="Z50" s="20"/>
      <c r="AA50" s="3"/>
      <c r="AB50" s="3"/>
      <c r="AC50" s="3"/>
      <c r="AD50" s="3"/>
      <c r="AF50" s="30" t="s">
        <v>12</v>
      </c>
      <c r="AG50" s="31"/>
      <c r="AH50" s="20"/>
      <c r="AI50" s="3"/>
      <c r="AJ50" s="3"/>
      <c r="AK50" s="3"/>
      <c r="AL50" s="3"/>
    </row>
    <row r="51" spans="16:38" ht="15" thickBot="1" x14ac:dyDescent="0.4">
      <c r="P51" s="32" t="s">
        <v>13</v>
      </c>
      <c r="Q51" s="33"/>
      <c r="R51" s="3"/>
      <c r="S51" s="3"/>
      <c r="T51" s="3"/>
      <c r="U51" s="3"/>
      <c r="V51" s="3"/>
      <c r="X51" s="32" t="s">
        <v>13</v>
      </c>
      <c r="Y51" s="33"/>
      <c r="Z51" s="20"/>
      <c r="AA51" s="3"/>
      <c r="AB51" s="3"/>
      <c r="AC51" s="3"/>
      <c r="AD51" s="3"/>
      <c r="AF51" s="32" t="s">
        <v>13</v>
      </c>
      <c r="AG51" s="33"/>
      <c r="AH51" s="20"/>
      <c r="AI51" s="3"/>
      <c r="AJ51" s="3"/>
      <c r="AK51" s="3"/>
      <c r="AL51" s="3"/>
    </row>
    <row r="52" spans="16:38" ht="15" thickBot="1" x14ac:dyDescent="0.4">
      <c r="P52" s="30" t="s">
        <v>14</v>
      </c>
      <c r="Q52" s="31"/>
      <c r="R52" s="3"/>
      <c r="S52" s="3"/>
      <c r="T52" s="3"/>
      <c r="U52" s="3"/>
      <c r="V52" s="3"/>
      <c r="X52" s="30" t="s">
        <v>14</v>
      </c>
      <c r="Y52" s="31"/>
      <c r="Z52" s="20"/>
      <c r="AA52" s="3"/>
      <c r="AB52" s="3"/>
      <c r="AC52" s="3"/>
      <c r="AD52" s="3"/>
      <c r="AF52" s="30" t="s">
        <v>14</v>
      </c>
      <c r="AG52" s="31"/>
      <c r="AH52" s="20"/>
      <c r="AI52" s="3"/>
      <c r="AJ52" s="3"/>
      <c r="AK52" s="3"/>
      <c r="AL52" s="3"/>
    </row>
    <row r="53" spans="16:38" ht="15" thickBot="1" x14ac:dyDescent="0.4">
      <c r="P53" s="32" t="s">
        <v>15</v>
      </c>
      <c r="Q53" s="33"/>
      <c r="R53" s="3"/>
      <c r="S53" s="3"/>
      <c r="T53" s="3"/>
      <c r="U53" s="3"/>
      <c r="V53" s="3"/>
      <c r="X53" s="32" t="s">
        <v>15</v>
      </c>
      <c r="Y53" s="33"/>
      <c r="Z53" s="20"/>
      <c r="AA53" s="3"/>
      <c r="AB53" s="3"/>
      <c r="AC53" s="3"/>
      <c r="AD53" s="3"/>
      <c r="AF53" s="32" t="s">
        <v>15</v>
      </c>
      <c r="AG53" s="33"/>
      <c r="AH53" s="20"/>
      <c r="AI53" s="3"/>
      <c r="AJ53" s="3"/>
      <c r="AK53" s="3"/>
      <c r="AL53" s="3"/>
    </row>
    <row r="54" spans="16:38" ht="15" thickBot="1" x14ac:dyDescent="0.4">
      <c r="P54" s="30" t="s">
        <v>16</v>
      </c>
      <c r="Q54" s="31"/>
      <c r="R54" s="3"/>
      <c r="S54" s="3"/>
      <c r="T54" s="3"/>
      <c r="U54" s="3"/>
      <c r="V54" s="3"/>
      <c r="X54" s="30" t="s">
        <v>16</v>
      </c>
      <c r="Y54" s="31"/>
      <c r="Z54" s="20"/>
      <c r="AA54" s="3"/>
      <c r="AB54" s="3"/>
      <c r="AC54" s="3"/>
      <c r="AD54" s="3"/>
      <c r="AF54" s="30" t="s">
        <v>16</v>
      </c>
      <c r="AG54" s="31"/>
      <c r="AH54" s="20"/>
      <c r="AI54" s="3"/>
      <c r="AJ54" s="3"/>
      <c r="AK54" s="3"/>
      <c r="AL54" s="3"/>
    </row>
    <row r="55" spans="16:38" ht="15" thickBot="1" x14ac:dyDescent="0.4">
      <c r="P55" s="32" t="s">
        <v>17</v>
      </c>
      <c r="Q55" s="33"/>
      <c r="R55" s="3"/>
      <c r="S55" s="3"/>
      <c r="T55" s="3"/>
      <c r="U55" s="3"/>
      <c r="V55" s="3"/>
      <c r="X55" s="32" t="s">
        <v>17</v>
      </c>
      <c r="Y55" s="33"/>
      <c r="Z55" s="20"/>
      <c r="AA55" s="3"/>
      <c r="AB55" s="3"/>
      <c r="AC55" s="3"/>
      <c r="AD55" s="3"/>
      <c r="AF55" s="32" t="s">
        <v>17</v>
      </c>
      <c r="AG55" s="33"/>
      <c r="AH55" s="20"/>
      <c r="AI55" s="3"/>
      <c r="AJ55" s="3"/>
      <c r="AK55" s="3"/>
      <c r="AL55" s="3"/>
    </row>
    <row r="56" spans="16:38" ht="15" thickBot="1" x14ac:dyDescent="0.4">
      <c r="P56" s="30" t="s">
        <v>18</v>
      </c>
      <c r="Q56" s="31"/>
      <c r="R56" s="3"/>
      <c r="S56" s="3"/>
      <c r="T56" s="3"/>
      <c r="U56" s="3"/>
      <c r="V56" s="3"/>
      <c r="X56" s="30" t="s">
        <v>18</v>
      </c>
      <c r="Y56" s="31"/>
      <c r="Z56" s="20"/>
      <c r="AA56" s="3"/>
      <c r="AB56" s="3"/>
      <c r="AC56" s="3"/>
      <c r="AD56" s="3"/>
      <c r="AF56" s="30" t="s">
        <v>18</v>
      </c>
      <c r="AG56" s="31"/>
      <c r="AH56" s="20"/>
      <c r="AI56" s="3"/>
      <c r="AJ56" s="3"/>
      <c r="AK56" s="3"/>
      <c r="AL56" s="3"/>
    </row>
    <row r="57" spans="16:38" ht="15" customHeight="1" thickBot="1" x14ac:dyDescent="0.4">
      <c r="P57" s="28" t="s">
        <v>31</v>
      </c>
      <c r="Q57" s="8" t="s">
        <v>46</v>
      </c>
      <c r="R57" s="15">
        <v>249.22025600000001</v>
      </c>
      <c r="S57" s="15">
        <f>R57*(36/33)</f>
        <v>271.87664290909089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60.390816000000001</v>
      </c>
      <c r="AA57" s="15">
        <f>Z57*(36/33)</f>
        <v>65.880890181818174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52.7022829</v>
      </c>
      <c r="AI57" s="15">
        <f>AH57*(36/33)</f>
        <v>57.493399527272722</v>
      </c>
      <c r="AJ57" s="3" t="s">
        <v>37</v>
      </c>
      <c r="AK57" s="3" t="s">
        <v>43</v>
      </c>
      <c r="AL57" s="3"/>
    </row>
    <row r="58" spans="16:38" ht="15" customHeight="1" thickBot="1" x14ac:dyDescent="0.4">
      <c r="P58" s="37"/>
      <c r="Q58" s="8" t="s">
        <v>47</v>
      </c>
      <c r="R58" s="15">
        <v>227.98912000000001</v>
      </c>
      <c r="S58" s="15">
        <f>R58*(36/33)</f>
        <v>248.71540363636365</v>
      </c>
      <c r="T58" s="3"/>
      <c r="U58" s="3"/>
      <c r="V58" s="3"/>
      <c r="X58" s="37"/>
      <c r="Y58" s="8" t="s">
        <v>47</v>
      </c>
      <c r="Z58" s="15">
        <v>62.143535999999997</v>
      </c>
      <c r="AA58" s="15">
        <f>Z58*(36/33)</f>
        <v>67.792948363636356</v>
      </c>
      <c r="AB58" s="3"/>
      <c r="AC58" s="3"/>
      <c r="AD58" s="3"/>
      <c r="AF58" s="37"/>
      <c r="AG58" s="8" t="s">
        <v>47</v>
      </c>
      <c r="AH58" s="15">
        <v>51.696528200000003</v>
      </c>
      <c r="AI58" s="15">
        <f>AH58*(36/33)</f>
        <v>56.396212581818183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232.85483600000001</v>
      </c>
      <c r="S59" s="16">
        <f t="shared" ref="S59:S75" si="5">R59*(36/33)</f>
        <v>254.02345745454545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62.944848</v>
      </c>
      <c r="AA59" s="16">
        <f t="shared" ref="AA59:AA64" si="6">Z59*(36/33)</f>
        <v>68.667106909090904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53.386547799999903</v>
      </c>
      <c r="AI59" s="16">
        <f t="shared" ref="AI59:AI64" si="7">AH59*(36/33)</f>
        <v>58.239870327272619</v>
      </c>
      <c r="AJ59" s="13" t="s">
        <v>37</v>
      </c>
      <c r="AK59" s="3" t="s">
        <v>43</v>
      </c>
      <c r="AL59" s="3"/>
    </row>
    <row r="60" spans="16:38" ht="15" customHeight="1" thickBot="1" x14ac:dyDescent="0.4">
      <c r="P60" s="24" t="s">
        <v>32</v>
      </c>
      <c r="Q60" s="8" t="s">
        <v>46</v>
      </c>
      <c r="R60" s="15">
        <v>53.371904000000001</v>
      </c>
      <c r="S60" s="15">
        <f t="shared" si="5"/>
        <v>58.223895272727269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40.454051999999997</v>
      </c>
      <c r="AA60" s="15">
        <f t="shared" si="6"/>
        <v>44.131693090909081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26.972586</v>
      </c>
      <c r="AI60" s="15">
        <f t="shared" si="7"/>
        <v>29.424639272727269</v>
      </c>
      <c r="AJ60" s="3" t="s">
        <v>37</v>
      </c>
      <c r="AK60" s="3" t="s">
        <v>43</v>
      </c>
      <c r="AL60" s="3"/>
    </row>
    <row r="61" spans="16:38" ht="15" customHeight="1" thickBot="1" x14ac:dyDescent="0.4">
      <c r="P61" s="36"/>
      <c r="Q61" s="8" t="s">
        <v>47</v>
      </c>
      <c r="R61" s="15">
        <v>48.515779999999999</v>
      </c>
      <c r="S61" s="15">
        <f t="shared" si="5"/>
        <v>52.926305454545449</v>
      </c>
      <c r="T61" s="3"/>
      <c r="U61" s="3"/>
      <c r="V61" s="3"/>
      <c r="X61" s="36"/>
      <c r="Y61" s="8" t="s">
        <v>47</v>
      </c>
      <c r="Z61" s="15">
        <v>38.779375999999999</v>
      </c>
      <c r="AA61" s="15">
        <f t="shared" si="6"/>
        <v>42.304773818181815</v>
      </c>
      <c r="AB61" s="3"/>
      <c r="AC61" s="3"/>
      <c r="AD61" s="3"/>
      <c r="AF61" s="36"/>
      <c r="AG61" s="8" t="s">
        <v>47</v>
      </c>
      <c r="AH61" s="15">
        <v>27.214580000000002</v>
      </c>
      <c r="AI61" s="15">
        <f t="shared" si="7"/>
        <v>29.688632727272726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50.561411999999997</v>
      </c>
      <c r="S62" s="16">
        <f t="shared" si="5"/>
        <v>55.157903999999995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38.897607999999998</v>
      </c>
      <c r="AA62" s="16">
        <f t="shared" si="6"/>
        <v>42.433754181818173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27.73931</v>
      </c>
      <c r="AI62" s="16">
        <f t="shared" si="7"/>
        <v>30.261065454545452</v>
      </c>
      <c r="AJ62" s="13" t="s">
        <v>37</v>
      </c>
      <c r="AK62" s="3" t="s">
        <v>43</v>
      </c>
      <c r="AL62" s="3"/>
    </row>
    <row r="63" spans="16:38" ht="15" customHeight="1" thickBot="1" x14ac:dyDescent="0.4">
      <c r="P63" s="24" t="s">
        <v>33</v>
      </c>
      <c r="Q63" s="8" t="s">
        <v>46</v>
      </c>
      <c r="R63" s="15">
        <v>194.23184000000001</v>
      </c>
      <c r="S63" s="15">
        <f t="shared" si="5"/>
        <v>211.88927999999999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42.339199999999998</v>
      </c>
      <c r="AA63" s="15">
        <f t="shared" si="6"/>
        <v>46.188218181818179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36.717804999999998</v>
      </c>
      <c r="AI63" s="15">
        <f t="shared" si="7"/>
        <v>40.055787272727265</v>
      </c>
      <c r="AJ63" s="3" t="s">
        <v>37</v>
      </c>
      <c r="AK63" s="3" t="s">
        <v>43</v>
      </c>
      <c r="AL63" s="3"/>
    </row>
    <row r="64" spans="16:38" ht="15" customHeight="1" thickBot="1" x14ac:dyDescent="0.4">
      <c r="P64" s="36"/>
      <c r="Q64" s="8" t="s">
        <v>47</v>
      </c>
      <c r="R64" s="15">
        <v>195.890232</v>
      </c>
      <c r="S64" s="15">
        <f t="shared" si="5"/>
        <v>213.69843490909088</v>
      </c>
      <c r="T64" s="3"/>
      <c r="U64" s="3"/>
      <c r="V64" s="3"/>
      <c r="X64" s="36"/>
      <c r="Y64" s="8" t="s">
        <v>47</v>
      </c>
      <c r="Z64" s="15">
        <v>45.432935999999998</v>
      </c>
      <c r="AA64" s="15">
        <f t="shared" si="6"/>
        <v>49.563202909090904</v>
      </c>
      <c r="AB64" s="3"/>
      <c r="AC64" s="3"/>
      <c r="AD64" s="3"/>
      <c r="AF64" s="36"/>
      <c r="AG64" s="8" t="s">
        <v>47</v>
      </c>
      <c r="AH64" s="15">
        <v>35.382093500000003</v>
      </c>
      <c r="AI64" s="15">
        <f t="shared" si="7"/>
        <v>38.598647454545457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200.75880799999999</v>
      </c>
      <c r="S65" s="16">
        <f>R65*(36/33)</f>
        <v>219.00960872727271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44.866036000000001</v>
      </c>
      <c r="AA65" s="16">
        <f>Z65*(36/33)</f>
        <v>48.944766545454542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39.734403499999999</v>
      </c>
      <c r="AI65" s="16">
        <f>AH65*(36/33)</f>
        <v>43.346621999999996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17">
        <v>315.79848800000002</v>
      </c>
      <c r="S66" s="17">
        <f>R66*(36/36)</f>
        <v>315.79848800000002</v>
      </c>
      <c r="T66" s="3" t="s">
        <v>37</v>
      </c>
      <c r="U66" s="3" t="s">
        <v>43</v>
      </c>
      <c r="V66" s="3"/>
      <c r="X66" s="26" t="s">
        <v>34</v>
      </c>
      <c r="Y66" s="27"/>
      <c r="Z66" s="17">
        <v>205.16565100000003</v>
      </c>
      <c r="AA66" s="17">
        <f>Z66*(36/36)</f>
        <v>205.16565100000003</v>
      </c>
      <c r="AB66" s="3" t="s">
        <v>37</v>
      </c>
      <c r="AC66" s="3" t="s">
        <v>43</v>
      </c>
      <c r="AD66" s="3"/>
      <c r="AF66" s="26" t="s">
        <v>34</v>
      </c>
      <c r="AG66" s="27"/>
      <c r="AH66" s="17">
        <v>186.6</v>
      </c>
      <c r="AI66" s="17">
        <f>AH66*(36/36)</f>
        <v>186.6</v>
      </c>
      <c r="AJ66" s="3" t="s">
        <v>37</v>
      </c>
      <c r="AK66" s="3" t="s">
        <v>43</v>
      </c>
      <c r="AL66" s="3"/>
    </row>
    <row r="67" spans="16:38" ht="15" customHeight="1" thickBot="1" x14ac:dyDescent="0.4">
      <c r="P67" s="28" t="s">
        <v>21</v>
      </c>
      <c r="Q67" s="8" t="s">
        <v>46</v>
      </c>
      <c r="R67" s="15">
        <v>279.66716000000002</v>
      </c>
      <c r="S67" s="15">
        <f t="shared" si="5"/>
        <v>305.09144727272729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62.90652</v>
      </c>
      <c r="AA67" s="15">
        <f t="shared" ref="AA67:AA75" si="8">Z67*(36/33)</f>
        <v>68.625294545454537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15">
        <v>52.948067799999997</v>
      </c>
      <c r="AI67" s="15">
        <f t="shared" ref="AI67:AI75" si="9">AH67*(36/33)</f>
        <v>57.761528509090901</v>
      </c>
      <c r="AJ67" s="3" t="s">
        <v>37</v>
      </c>
      <c r="AK67" s="3" t="s">
        <v>43</v>
      </c>
      <c r="AL67" s="3"/>
    </row>
    <row r="68" spans="16:38" ht="15" customHeight="1" thickBot="1" x14ac:dyDescent="0.4">
      <c r="P68" s="37"/>
      <c r="Q68" s="8" t="s">
        <v>47</v>
      </c>
      <c r="R68" s="15">
        <v>255.68985599999999</v>
      </c>
      <c r="S68" s="15">
        <f t="shared" si="5"/>
        <v>278.93438836363634</v>
      </c>
      <c r="T68" s="3"/>
      <c r="U68" s="3"/>
      <c r="V68" s="3"/>
      <c r="X68" s="37"/>
      <c r="Y68" s="8" t="s">
        <v>47</v>
      </c>
      <c r="Z68" s="15">
        <v>64.705207999999999</v>
      </c>
      <c r="AA68" s="15">
        <f t="shared" si="8"/>
        <v>70.587499636363631</v>
      </c>
      <c r="AB68" s="3"/>
      <c r="AC68" s="3"/>
      <c r="AD68" s="3"/>
      <c r="AF68" s="37"/>
      <c r="AG68" s="8" t="s">
        <v>47</v>
      </c>
      <c r="AH68" s="15">
        <v>51.941095900000001</v>
      </c>
      <c r="AI68" s="15">
        <f t="shared" si="9"/>
        <v>56.663013709090905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261.01576799999998</v>
      </c>
      <c r="S69" s="16">
        <f t="shared" si="5"/>
        <v>284.74447418181813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65.550104000000005</v>
      </c>
      <c r="AA69" s="16">
        <f t="shared" si="8"/>
        <v>71.509204363636357</v>
      </c>
      <c r="AB69" s="13" t="s">
        <v>37</v>
      </c>
      <c r="AC69" s="3" t="s">
        <v>43</v>
      </c>
      <c r="AD69" s="3"/>
      <c r="AF69" s="29"/>
      <c r="AG69" s="4" t="s">
        <v>20</v>
      </c>
      <c r="AH69" s="16">
        <v>53.640772799999901</v>
      </c>
      <c r="AI69" s="16">
        <f t="shared" si="9"/>
        <v>58.517206690908978</v>
      </c>
      <c r="AJ69" s="13" t="s">
        <v>37</v>
      </c>
      <c r="AK69" s="3" t="s">
        <v>43</v>
      </c>
      <c r="AL69" s="3"/>
    </row>
    <row r="70" spans="16:38" ht="15" customHeight="1" thickBot="1" x14ac:dyDescent="0.4">
      <c r="P70" s="28" t="s">
        <v>22</v>
      </c>
      <c r="Q70" s="8" t="s">
        <v>46</v>
      </c>
      <c r="R70" s="15">
        <v>59.936351999999999</v>
      </c>
      <c r="S70" s="15">
        <f t="shared" si="5"/>
        <v>65.385111272727272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42.954327999999997</v>
      </c>
      <c r="AA70" s="15">
        <f t="shared" si="8"/>
        <v>46.859266909090906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15">
        <v>27.607682</v>
      </c>
      <c r="AI70" s="15">
        <f t="shared" si="9"/>
        <v>30.117471272727272</v>
      </c>
      <c r="AJ70" s="3" t="s">
        <v>37</v>
      </c>
      <c r="AK70" s="3" t="s">
        <v>43</v>
      </c>
      <c r="AL70" s="3"/>
    </row>
    <row r="71" spans="16:38" ht="15" customHeight="1" thickBot="1" x14ac:dyDescent="0.4">
      <c r="P71" s="37"/>
      <c r="Q71" s="8" t="s">
        <v>47</v>
      </c>
      <c r="R71" s="15">
        <v>54.157048000000003</v>
      </c>
      <c r="S71" s="15">
        <f t="shared" si="5"/>
        <v>59.080416</v>
      </c>
      <c r="T71" s="3"/>
      <c r="U71" s="3"/>
      <c r="V71" s="3"/>
      <c r="X71" s="37"/>
      <c r="Y71" s="8" t="s">
        <v>47</v>
      </c>
      <c r="Z71" s="15">
        <v>41.249907999999998</v>
      </c>
      <c r="AA71" s="15">
        <f t="shared" si="8"/>
        <v>44.999899636363629</v>
      </c>
      <c r="AB71" s="3"/>
      <c r="AC71" s="3"/>
      <c r="AD71" s="3"/>
      <c r="AF71" s="37"/>
      <c r="AG71" s="8" t="s">
        <v>47</v>
      </c>
      <c r="AH71" s="15">
        <v>28.110828000000001</v>
      </c>
      <c r="AI71" s="15">
        <f t="shared" si="9"/>
        <v>30.666357818181819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56.406391999999997</v>
      </c>
      <c r="S72" s="16">
        <f t="shared" si="5"/>
        <v>61.534245818181809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41.405487999999998</v>
      </c>
      <c r="AA72" s="16">
        <f t="shared" si="8"/>
        <v>45.169623272727264</v>
      </c>
      <c r="AB72" s="13" t="s">
        <v>37</v>
      </c>
      <c r="AC72" s="3" t="s">
        <v>43</v>
      </c>
      <c r="AD72" s="3"/>
      <c r="AF72" s="29"/>
      <c r="AG72" s="4" t="s">
        <v>20</v>
      </c>
      <c r="AH72" s="16">
        <v>28.662092000000001</v>
      </c>
      <c r="AI72" s="16">
        <f t="shared" si="9"/>
        <v>31.267736727272727</v>
      </c>
      <c r="AJ72" s="13" t="s">
        <v>37</v>
      </c>
      <c r="AK72" s="3" t="s">
        <v>43</v>
      </c>
      <c r="AL72" s="3"/>
    </row>
    <row r="73" spans="16:38" ht="15" customHeight="1" thickBot="1" x14ac:dyDescent="0.4">
      <c r="P73" s="24" t="s">
        <v>35</v>
      </c>
      <c r="Q73" s="8" t="s">
        <v>46</v>
      </c>
      <c r="R73" s="15">
        <v>217.607056</v>
      </c>
      <c r="S73" s="15">
        <f t="shared" si="5"/>
        <v>237.38951563636363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45.738244000000002</v>
      </c>
      <c r="AA73" s="15">
        <f t="shared" si="8"/>
        <v>49.896266181818177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15">
        <v>36.793350500000003</v>
      </c>
      <c r="AI73" s="15">
        <f t="shared" si="9"/>
        <v>40.138200545454545</v>
      </c>
      <c r="AJ73" s="3" t="s">
        <v>37</v>
      </c>
      <c r="AK73" s="3" t="s">
        <v>43</v>
      </c>
      <c r="AL73" s="3"/>
    </row>
    <row r="74" spans="16:38" ht="15" customHeight="1" thickBot="1" x14ac:dyDescent="0.4">
      <c r="P74" s="36"/>
      <c r="Q74" s="8" t="s">
        <v>47</v>
      </c>
      <c r="R74" s="15">
        <v>219.82657599999999</v>
      </c>
      <c r="S74" s="15">
        <f t="shared" si="5"/>
        <v>239.81081018181814</v>
      </c>
      <c r="T74" s="3"/>
      <c r="U74" s="3"/>
      <c r="V74" s="3"/>
      <c r="X74" s="36"/>
      <c r="Y74" s="8" t="s">
        <v>47</v>
      </c>
      <c r="Z74" s="15">
        <v>48.844028000000002</v>
      </c>
      <c r="AA74" s="15">
        <f t="shared" si="8"/>
        <v>53.284394181818179</v>
      </c>
      <c r="AB74" s="3"/>
      <c r="AC74" s="3"/>
      <c r="AD74" s="3"/>
      <c r="AF74" s="36"/>
      <c r="AG74" s="8" t="s">
        <v>47</v>
      </c>
      <c r="AH74" s="15">
        <v>35.466813500000001</v>
      </c>
      <c r="AI74" s="15">
        <f t="shared" si="9"/>
        <v>38.691069272727269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225.174104</v>
      </c>
      <c r="S75" s="16">
        <f t="shared" si="5"/>
        <v>245.64447709090908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48.323403999999996</v>
      </c>
      <c r="AA75" s="16">
        <f t="shared" si="8"/>
        <v>52.716440727272719</v>
      </c>
      <c r="AB75" s="13" t="s">
        <v>37</v>
      </c>
      <c r="AC75" s="3" t="s">
        <v>43</v>
      </c>
      <c r="AD75" s="3"/>
      <c r="AF75" s="25"/>
      <c r="AG75" s="4" t="s">
        <v>20</v>
      </c>
      <c r="AH75" s="16">
        <v>39.9051805</v>
      </c>
      <c r="AI75" s="16">
        <f t="shared" si="9"/>
        <v>43.532924181818181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17">
        <v>336.806468</v>
      </c>
      <c r="S76" s="17">
        <f>R76*(36/36)</f>
        <v>336.806468</v>
      </c>
      <c r="T76" s="3" t="s">
        <v>37</v>
      </c>
      <c r="U76" s="3" t="s">
        <v>43</v>
      </c>
      <c r="V76" s="3"/>
      <c r="X76" s="26" t="s">
        <v>23</v>
      </c>
      <c r="Y76" s="27"/>
      <c r="Z76" s="17">
        <v>214.39873800000001</v>
      </c>
      <c r="AA76" s="17">
        <f>Z76*(36/36)</f>
        <v>214.39873800000001</v>
      </c>
      <c r="AB76" s="3" t="s">
        <v>37</v>
      </c>
      <c r="AC76" s="3" t="s">
        <v>43</v>
      </c>
      <c r="AD76" s="3"/>
      <c r="AF76" s="26" t="s">
        <v>23</v>
      </c>
      <c r="AG76" s="27"/>
      <c r="AH76" s="17">
        <v>191.5</v>
      </c>
      <c r="AI76" s="17">
        <f>AH76*(36/36)</f>
        <v>191.5</v>
      </c>
      <c r="AJ76" s="3" t="s">
        <v>37</v>
      </c>
      <c r="AK76" s="3" t="s">
        <v>43</v>
      </c>
      <c r="AL76" s="3"/>
    </row>
    <row r="80" spans="16:38" ht="15" thickBot="1" x14ac:dyDescent="0.4"/>
    <row r="81" spans="17:20" ht="15" thickBot="1" x14ac:dyDescent="0.4">
      <c r="Q81" s="28"/>
      <c r="R81" s="8"/>
      <c r="S81" s="9"/>
      <c r="T81" s="9"/>
    </row>
    <row r="82" spans="17:20" ht="15" thickBot="1" x14ac:dyDescent="0.4">
      <c r="Q82" s="29"/>
      <c r="R82" s="4"/>
      <c r="S82" s="5"/>
      <c r="T82" s="5"/>
    </row>
    <row r="83" spans="17:20" ht="15" thickBot="1" x14ac:dyDescent="0.4">
      <c r="Q83" s="24"/>
      <c r="R83" s="8"/>
      <c r="S83" s="9"/>
      <c r="T83" s="9"/>
    </row>
    <row r="84" spans="17:20" ht="15" thickBot="1" x14ac:dyDescent="0.4">
      <c r="Q84" s="25"/>
      <c r="R84" s="4"/>
      <c r="S84" s="5"/>
      <c r="T84" s="5"/>
    </row>
    <row r="85" spans="17:20" ht="15" thickBot="1" x14ac:dyDescent="0.4">
      <c r="Q85" s="24"/>
      <c r="R85" s="8"/>
      <c r="S85" s="9"/>
      <c r="T85" s="9"/>
    </row>
    <row r="86" spans="17:20" ht="15" thickBot="1" x14ac:dyDescent="0.4">
      <c r="Q86" s="25"/>
      <c r="R86" s="4"/>
      <c r="S86" s="5"/>
      <c r="T86" s="5"/>
    </row>
    <row r="87" spans="17:20" ht="15" thickBot="1" x14ac:dyDescent="0.4">
      <c r="Q87" s="26"/>
      <c r="R87" s="27"/>
      <c r="S87" s="7"/>
      <c r="T87" s="7"/>
    </row>
    <row r="88" spans="17:20" ht="15" thickBot="1" x14ac:dyDescent="0.4">
      <c r="Q88" s="28"/>
      <c r="R88" s="8"/>
      <c r="S88" s="9"/>
      <c r="T88" s="9"/>
    </row>
    <row r="89" spans="17:20" ht="15" thickBot="1" x14ac:dyDescent="0.4">
      <c r="Q89" s="29"/>
      <c r="R89" s="4"/>
      <c r="S89" s="5"/>
      <c r="T89" s="5"/>
    </row>
    <row r="90" spans="17:20" ht="15" thickBot="1" x14ac:dyDescent="0.4">
      <c r="Q90" s="28"/>
      <c r="R90" s="8"/>
      <c r="S90" s="9"/>
      <c r="T90" s="9"/>
    </row>
    <row r="91" spans="17:20" ht="15" thickBot="1" x14ac:dyDescent="0.4">
      <c r="Q91" s="29"/>
      <c r="R91" s="4"/>
      <c r="S91" s="5"/>
      <c r="T91" s="5"/>
    </row>
    <row r="92" spans="17:20" ht="15" thickBot="1" x14ac:dyDescent="0.4">
      <c r="Q92" s="24"/>
      <c r="R92" s="8"/>
      <c r="S92" s="9"/>
      <c r="T92" s="9"/>
    </row>
    <row r="93" spans="17:20" ht="15" thickBot="1" x14ac:dyDescent="0.4">
      <c r="Q93" s="25"/>
      <c r="R93" s="4"/>
      <c r="S93" s="5"/>
      <c r="T93" s="5"/>
    </row>
    <row r="94" spans="17:20" ht="15" thickBot="1" x14ac:dyDescent="0.4">
      <c r="Q94" s="26"/>
      <c r="R94" s="27"/>
      <c r="S94" s="7"/>
      <c r="T94" s="7"/>
    </row>
  </sheetData>
  <mergeCells count="158">
    <mergeCell ref="AF66:AG66"/>
    <mergeCell ref="AF67:AF69"/>
    <mergeCell ref="AF70:AF72"/>
    <mergeCell ref="AF73:AF75"/>
    <mergeCell ref="AF76:AG76"/>
    <mergeCell ref="AF51:AG51"/>
    <mergeCell ref="AF52:AG52"/>
    <mergeCell ref="AF53:AG53"/>
    <mergeCell ref="AF54:AG54"/>
    <mergeCell ref="AF55:AG55"/>
    <mergeCell ref="AF56:AG56"/>
    <mergeCell ref="AF57:AF59"/>
    <mergeCell ref="AF60:AF62"/>
    <mergeCell ref="AF63:AF65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21:AF23"/>
    <mergeCell ref="AF24:AF26"/>
    <mergeCell ref="AF27:AG27"/>
    <mergeCell ref="AF28:AF30"/>
    <mergeCell ref="AF31:AF33"/>
    <mergeCell ref="AF34:AF36"/>
    <mergeCell ref="AF37:AG37"/>
    <mergeCell ref="AF40:AG40"/>
    <mergeCell ref="AF41:AG41"/>
    <mergeCell ref="AF10:AG10"/>
    <mergeCell ref="AF11:AG11"/>
    <mergeCell ref="AF12:AG12"/>
    <mergeCell ref="AF13:AG13"/>
    <mergeCell ref="AF14:AG14"/>
    <mergeCell ref="AF15:AG15"/>
    <mergeCell ref="AF16:AG16"/>
    <mergeCell ref="AF17:AG17"/>
    <mergeCell ref="AF18:AF20"/>
    <mergeCell ref="AF1:AG1"/>
    <mergeCell ref="AF2:AG2"/>
    <mergeCell ref="AF3:AG3"/>
    <mergeCell ref="AF4:AG4"/>
    <mergeCell ref="AF5:AG5"/>
    <mergeCell ref="AF6:AG6"/>
    <mergeCell ref="AF7:AG7"/>
    <mergeCell ref="AF8:AG8"/>
    <mergeCell ref="AF9:AG9"/>
    <mergeCell ref="Q90:Q91"/>
    <mergeCell ref="Q92:Q93"/>
    <mergeCell ref="Q94:R94"/>
    <mergeCell ref="Q81:Q82"/>
    <mergeCell ref="Q83:Q84"/>
    <mergeCell ref="Q85:Q86"/>
    <mergeCell ref="Q87:R87"/>
    <mergeCell ref="Q88:Q89"/>
    <mergeCell ref="X66:Y66"/>
    <mergeCell ref="X67:X69"/>
    <mergeCell ref="X70:X72"/>
    <mergeCell ref="X73:X75"/>
    <mergeCell ref="X76:Y76"/>
    <mergeCell ref="X55:Y55"/>
    <mergeCell ref="X56:Y56"/>
    <mergeCell ref="X57:X59"/>
    <mergeCell ref="X60:X62"/>
    <mergeCell ref="X63:X65"/>
    <mergeCell ref="X50:Y50"/>
    <mergeCell ref="X51:Y51"/>
    <mergeCell ref="X52:Y52"/>
    <mergeCell ref="X53:Y53"/>
    <mergeCell ref="X54:Y54"/>
    <mergeCell ref="X45:Y45"/>
    <mergeCell ref="X46:Y46"/>
    <mergeCell ref="X47:Y47"/>
    <mergeCell ref="X48:Y48"/>
    <mergeCell ref="X49:Y49"/>
    <mergeCell ref="X40:Y40"/>
    <mergeCell ref="X41:Y41"/>
    <mergeCell ref="X42:Y42"/>
    <mergeCell ref="X43:Y43"/>
    <mergeCell ref="X44:Y44"/>
    <mergeCell ref="X27:Y27"/>
    <mergeCell ref="X28:X30"/>
    <mergeCell ref="X31:X33"/>
    <mergeCell ref="X34:X36"/>
    <mergeCell ref="X37:Y37"/>
    <mergeCell ref="X16:Y16"/>
    <mergeCell ref="X17:Y17"/>
    <mergeCell ref="X18:X20"/>
    <mergeCell ref="X21:X23"/>
    <mergeCell ref="X24:X26"/>
    <mergeCell ref="X11:Y11"/>
    <mergeCell ref="X12:Y12"/>
    <mergeCell ref="X13:Y13"/>
    <mergeCell ref="X14:Y14"/>
    <mergeCell ref="X15:Y15"/>
    <mergeCell ref="X6:Y6"/>
    <mergeCell ref="X7:Y7"/>
    <mergeCell ref="X8:Y8"/>
    <mergeCell ref="X9:Y9"/>
    <mergeCell ref="X10:Y10"/>
    <mergeCell ref="X1:Y1"/>
    <mergeCell ref="X2:Y2"/>
    <mergeCell ref="X3:Y3"/>
    <mergeCell ref="X4:Y4"/>
    <mergeCell ref="X5:Y5"/>
    <mergeCell ref="P6:Q6"/>
    <mergeCell ref="P1:Q1"/>
    <mergeCell ref="P2:Q2"/>
    <mergeCell ref="P3:Q3"/>
    <mergeCell ref="P4:Q4"/>
    <mergeCell ref="P5:Q5"/>
    <mergeCell ref="P18:P20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54:Q54"/>
    <mergeCell ref="P55:Q55"/>
    <mergeCell ref="P44:Q44"/>
    <mergeCell ref="P21:P23"/>
    <mergeCell ref="P24:P26"/>
    <mergeCell ref="P27:Q27"/>
    <mergeCell ref="P28:P30"/>
    <mergeCell ref="P31:P33"/>
    <mergeCell ref="P34:P36"/>
    <mergeCell ref="P37:Q37"/>
    <mergeCell ref="P40:Q40"/>
    <mergeCell ref="P41:Q41"/>
    <mergeCell ref="P42:Q42"/>
    <mergeCell ref="P43:Q43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73:P75"/>
    <mergeCell ref="P76:Q76"/>
    <mergeCell ref="P57:P59"/>
    <mergeCell ref="P60:P62"/>
    <mergeCell ref="P63:P65"/>
    <mergeCell ref="P66:Q66"/>
    <mergeCell ref="P67:P69"/>
    <mergeCell ref="P70:P72"/>
    <mergeCell ref="P56:Q56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EBD0-512D-4CE1-811F-87700799BA83}">
  <sheetPr>
    <tabColor theme="4" tint="0.79998168889431442"/>
  </sheetPr>
  <dimension ref="O1:AL94"/>
  <sheetViews>
    <sheetView workbookViewId="0">
      <selection sqref="A1:N104857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6" max="16" width="26.1796875" customWidth="1"/>
    <col min="17" max="17" width="17.453125" customWidth="1"/>
    <col min="18" max="18" width="11.54296875" bestFit="1" customWidth="1"/>
    <col min="24" max="24" width="26.1796875" customWidth="1"/>
    <col min="25" max="25" width="19" customWidth="1"/>
    <col min="26" max="26" width="11.54296875" bestFit="1" customWidth="1"/>
    <col min="32" max="32" width="26.1796875" customWidth="1"/>
    <col min="33" max="33" width="19.17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25</v>
      </c>
      <c r="S1" s="1"/>
      <c r="T1" s="1"/>
      <c r="U1" s="1"/>
      <c r="V1" s="1"/>
      <c r="X1" s="34" t="s">
        <v>0</v>
      </c>
      <c r="Y1" s="35"/>
      <c r="Z1" s="1" t="s">
        <v>25</v>
      </c>
      <c r="AA1" s="1"/>
      <c r="AB1" s="1"/>
      <c r="AC1" s="1"/>
      <c r="AD1" s="1"/>
      <c r="AF1" s="34" t="s">
        <v>0</v>
      </c>
      <c r="AG1" s="35"/>
      <c r="AH1" s="1" t="s">
        <v>25</v>
      </c>
      <c r="AI1" s="1"/>
      <c r="AJ1" s="1"/>
      <c r="AK1" s="1"/>
      <c r="AL1" s="1"/>
    </row>
    <row r="2" spans="15:38" ht="15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customHeight="1" thickBot="1" x14ac:dyDescent="0.4">
      <c r="P18" s="28" t="s">
        <v>31</v>
      </c>
      <c r="Q18" s="8" t="s">
        <v>46</v>
      </c>
      <c r="R18" s="15">
        <v>237.924136</v>
      </c>
      <c r="S18" s="15">
        <f>R18*(33/30)</f>
        <v>261.71654960000001</v>
      </c>
      <c r="T18" s="5" t="s">
        <v>37</v>
      </c>
      <c r="U18" s="5" t="s">
        <v>43</v>
      </c>
      <c r="V18" s="5"/>
      <c r="X18" s="28" t="s">
        <v>31</v>
      </c>
      <c r="Y18" s="8" t="s">
        <v>46</v>
      </c>
      <c r="Z18" s="15">
        <v>80.831584000000007</v>
      </c>
      <c r="AA18" s="15">
        <f>Z18*(33/30)</f>
        <v>88.914742400000009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15">
        <v>52.857607999999999</v>
      </c>
      <c r="AI18" s="15">
        <f>AH18*(33/30)</f>
        <v>58.143368800000005</v>
      </c>
      <c r="AJ18" s="5" t="s">
        <v>37</v>
      </c>
      <c r="AK18" s="5" t="s">
        <v>43</v>
      </c>
      <c r="AL18" s="5"/>
    </row>
    <row r="19" spans="16:38" ht="15" customHeight="1" thickBot="1" x14ac:dyDescent="0.4">
      <c r="P19" s="37"/>
      <c r="Q19" s="8" t="s">
        <v>47</v>
      </c>
      <c r="R19" s="15">
        <v>228.96671000000001</v>
      </c>
      <c r="S19" s="15">
        <f>R19*(33/30)</f>
        <v>251.86338100000003</v>
      </c>
      <c r="T19" s="5"/>
      <c r="U19" s="5"/>
      <c r="V19" s="5"/>
      <c r="X19" s="37"/>
      <c r="Y19" s="8" t="s">
        <v>47</v>
      </c>
      <c r="Z19" s="15">
        <v>82.687432000000001</v>
      </c>
      <c r="AA19" s="15">
        <f>Z19*(33/30)</f>
        <v>90.956175200000004</v>
      </c>
      <c r="AB19" s="5"/>
      <c r="AC19" s="5"/>
      <c r="AD19" s="5"/>
      <c r="AF19" s="37"/>
      <c r="AG19" s="8" t="s">
        <v>47</v>
      </c>
      <c r="AH19" s="15">
        <v>52.492240000000002</v>
      </c>
      <c r="AI19" s="15">
        <f>AH19*(33/30)</f>
        <v>57.741464000000008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231.05079000000001</v>
      </c>
      <c r="S20" s="16">
        <f>R20*(33/30)</f>
        <v>254.15586900000002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83.623908</v>
      </c>
      <c r="AA20" s="16">
        <f>Z20*(33/30)</f>
        <v>91.986298800000014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52.481115000000003</v>
      </c>
      <c r="AI20" s="16">
        <f>AH20*(33/30)</f>
        <v>57.72922650000001</v>
      </c>
      <c r="AJ20" s="12" t="s">
        <v>37</v>
      </c>
      <c r="AK20" s="5" t="s">
        <v>43</v>
      </c>
      <c r="AL20" s="5"/>
    </row>
    <row r="21" spans="16:38" ht="15" customHeight="1" thickBot="1" x14ac:dyDescent="0.4">
      <c r="P21" s="24" t="s">
        <v>32</v>
      </c>
      <c r="Q21" s="8" t="s">
        <v>46</v>
      </c>
      <c r="R21" s="15">
        <v>88.525586000000004</v>
      </c>
      <c r="S21" s="15">
        <f>R21*(33/30)</f>
        <v>97.378144600000013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46.638424000000001</v>
      </c>
      <c r="AA21" s="15">
        <f>Z21*(33/30)</f>
        <v>51.302266400000008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15">
        <v>25.970224000000002</v>
      </c>
      <c r="AI21" s="15">
        <f>AH21*(33/30)</f>
        <v>28.567246400000005</v>
      </c>
      <c r="AJ21" s="5" t="s">
        <v>37</v>
      </c>
      <c r="AK21" s="5" t="s">
        <v>43</v>
      </c>
      <c r="AL21" s="5"/>
    </row>
    <row r="22" spans="16:38" ht="15" customHeight="1" thickBot="1" x14ac:dyDescent="0.4">
      <c r="P22" s="36"/>
      <c r="Q22" s="8" t="s">
        <v>47</v>
      </c>
      <c r="R22" s="15">
        <v>64.188311999999996</v>
      </c>
      <c r="S22" s="15">
        <f>R22*(33/30)</f>
        <v>70.607143199999996</v>
      </c>
      <c r="T22" s="5"/>
      <c r="U22" s="5"/>
      <c r="V22" s="5"/>
      <c r="X22" s="36"/>
      <c r="Y22" s="8" t="s">
        <v>47</v>
      </c>
      <c r="Z22" s="15">
        <v>35.035524000000002</v>
      </c>
      <c r="AA22" s="15">
        <f>Z22*(33/30)</f>
        <v>38.539076400000006</v>
      </c>
      <c r="AB22" s="5"/>
      <c r="AC22" s="5"/>
      <c r="AD22" s="5"/>
      <c r="AF22" s="36"/>
      <c r="AG22" s="8" t="s">
        <v>47</v>
      </c>
      <c r="AH22" s="15">
        <v>19.599053000000001</v>
      </c>
      <c r="AI22" s="15">
        <f>AH22*(33/30)</f>
        <v>21.558958300000004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66.631252000000003</v>
      </c>
      <c r="S23" s="16">
        <f t="shared" ref="S23:S36" si="0">R23*(33/30)</f>
        <v>73.294377200000014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34.068908</v>
      </c>
      <c r="AA23" s="16">
        <f t="shared" ref="AA23:AA26" si="1">Z23*(33/30)</f>
        <v>37.475798800000007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22.550618</v>
      </c>
      <c r="AI23" s="16">
        <f t="shared" ref="AI23:AI26" si="2">AH23*(33/30)</f>
        <v>24.805679800000004</v>
      </c>
      <c r="AJ23" s="12" t="s">
        <v>37</v>
      </c>
      <c r="AK23" s="5" t="s">
        <v>43</v>
      </c>
      <c r="AL23" s="5"/>
    </row>
    <row r="24" spans="16:38" ht="15" customHeight="1" thickBot="1" x14ac:dyDescent="0.4">
      <c r="P24" s="24" t="s">
        <v>33</v>
      </c>
      <c r="Q24" s="8" t="s">
        <v>46</v>
      </c>
      <c r="R24" s="15">
        <v>235.154844</v>
      </c>
      <c r="S24" s="15">
        <f t="shared" si="0"/>
        <v>258.67032840000002</v>
      </c>
      <c r="T24" s="5" t="s">
        <v>37</v>
      </c>
      <c r="U24" s="5" t="s">
        <v>43</v>
      </c>
      <c r="V24" s="5"/>
      <c r="X24" s="24" t="s">
        <v>33</v>
      </c>
      <c r="Y24" s="8" t="s">
        <v>19</v>
      </c>
      <c r="Z24" s="15">
        <v>54.766399999999997</v>
      </c>
      <c r="AA24" s="15">
        <f t="shared" si="1"/>
        <v>60.243040000000001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15">
        <v>34.840507000000002</v>
      </c>
      <c r="AI24" s="15">
        <f t="shared" si="2"/>
        <v>38.324557700000007</v>
      </c>
      <c r="AJ24" s="5" t="s">
        <v>37</v>
      </c>
      <c r="AK24" s="5" t="s">
        <v>43</v>
      </c>
      <c r="AL24" s="5"/>
    </row>
    <row r="25" spans="16:38" ht="15" customHeight="1" thickBot="1" x14ac:dyDescent="0.4">
      <c r="P25" s="36"/>
      <c r="Q25" s="8" t="s">
        <v>47</v>
      </c>
      <c r="R25" s="15">
        <v>166.43382600000001</v>
      </c>
      <c r="S25" s="15">
        <f t="shared" si="0"/>
        <v>183.07720860000003</v>
      </c>
      <c r="T25" s="5"/>
      <c r="U25" s="5"/>
      <c r="V25" s="5"/>
      <c r="X25" s="36"/>
      <c r="Y25" s="8" t="s">
        <v>47</v>
      </c>
      <c r="Z25" s="15">
        <v>50.820504</v>
      </c>
      <c r="AA25" s="15">
        <f t="shared" si="1"/>
        <v>55.902554400000007</v>
      </c>
      <c r="AB25" s="5"/>
      <c r="AC25" s="5"/>
      <c r="AD25" s="5"/>
      <c r="AF25" s="36"/>
      <c r="AG25" s="8" t="s">
        <v>47</v>
      </c>
      <c r="AH25" s="15">
        <v>29.879916000000001</v>
      </c>
      <c r="AI25" s="15">
        <f t="shared" si="2"/>
        <v>32.867907600000002</v>
      </c>
      <c r="AJ25" s="5"/>
      <c r="AK25" s="5"/>
      <c r="AL25" s="5"/>
    </row>
    <row r="26" spans="16:38" ht="15" thickBot="1" x14ac:dyDescent="0.4">
      <c r="P26" s="25"/>
      <c r="Q26" s="4" t="s">
        <v>20</v>
      </c>
      <c r="R26" s="16">
        <v>166.50994800000001</v>
      </c>
      <c r="S26" s="16">
        <f t="shared" si="0"/>
        <v>183.16094280000002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52.793888000000003</v>
      </c>
      <c r="AA26" s="16">
        <f t="shared" si="1"/>
        <v>58.073276800000009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31.6928795</v>
      </c>
      <c r="AI26" s="16">
        <f t="shared" si="2"/>
        <v>34.862167450000001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17">
        <v>276.39055999999999</v>
      </c>
      <c r="S27" s="17">
        <f>R27*(33/33)</f>
        <v>276.39055999999999</v>
      </c>
      <c r="T27" s="5" t="s">
        <v>37</v>
      </c>
      <c r="U27" s="5" t="s">
        <v>43</v>
      </c>
      <c r="V27" s="5"/>
      <c r="X27" s="26" t="s">
        <v>34</v>
      </c>
      <c r="Y27" s="27"/>
      <c r="Z27" s="17">
        <v>178.26162625000001</v>
      </c>
      <c r="AA27" s="17">
        <f>Z27*(33/33)</f>
        <v>178.26162625000001</v>
      </c>
      <c r="AB27" s="5" t="s">
        <v>37</v>
      </c>
      <c r="AC27" s="5" t="s">
        <v>43</v>
      </c>
      <c r="AD27" s="5"/>
      <c r="AF27" s="26" t="s">
        <v>34</v>
      </c>
      <c r="AG27" s="27"/>
      <c r="AH27" s="17">
        <v>170.5</v>
      </c>
      <c r="AI27" s="17">
        <f>AH27*(33/33)</f>
        <v>170.5</v>
      </c>
      <c r="AJ27" s="5" t="s">
        <v>37</v>
      </c>
      <c r="AK27" s="5" t="s">
        <v>43</v>
      </c>
      <c r="AL27" s="5"/>
    </row>
    <row r="28" spans="16:38" ht="15" customHeight="1" thickBot="1" x14ac:dyDescent="0.4">
      <c r="P28" s="28" t="s">
        <v>21</v>
      </c>
      <c r="Q28" s="8" t="s">
        <v>46</v>
      </c>
      <c r="R28" s="15">
        <v>269.57084800000001</v>
      </c>
      <c r="S28" s="15">
        <f t="shared" si="0"/>
        <v>296.52793280000003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86.157079999999993</v>
      </c>
      <c r="AA28" s="15">
        <f t="shared" ref="AA28:AA36" si="3">Z28*(33/30)</f>
        <v>94.772788000000006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15">
        <v>53.011370999999997</v>
      </c>
      <c r="AI28" s="15">
        <f t="shared" ref="AI28:AI36" si="4">AH28*(33/30)</f>
        <v>58.312508100000002</v>
      </c>
      <c r="AJ28" s="5" t="s">
        <v>37</v>
      </c>
      <c r="AK28" s="5" t="s">
        <v>43</v>
      </c>
      <c r="AL28" s="5"/>
    </row>
    <row r="29" spans="16:38" ht="15" customHeight="1" thickBot="1" x14ac:dyDescent="0.4">
      <c r="P29" s="37"/>
      <c r="Q29" s="8" t="s">
        <v>47</v>
      </c>
      <c r="R29" s="15">
        <v>257.64982800000001</v>
      </c>
      <c r="S29" s="15">
        <f t="shared" si="0"/>
        <v>283.41481080000005</v>
      </c>
      <c r="T29" s="5"/>
      <c r="U29" s="5"/>
      <c r="V29" s="5"/>
      <c r="X29" s="37"/>
      <c r="Y29" s="8" t="s">
        <v>47</v>
      </c>
      <c r="Z29" s="15">
        <v>88.073055999999994</v>
      </c>
      <c r="AA29" s="15">
        <f t="shared" si="3"/>
        <v>96.880361600000001</v>
      </c>
      <c r="AB29" s="5"/>
      <c r="AC29" s="5"/>
      <c r="AD29" s="5"/>
      <c r="AF29" s="37"/>
      <c r="AG29" s="8" t="s">
        <v>47</v>
      </c>
      <c r="AH29" s="15">
        <v>52.626820000000002</v>
      </c>
      <c r="AI29" s="15">
        <f t="shared" si="4"/>
        <v>57.889502000000007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260.14454799999999</v>
      </c>
      <c r="S30" s="16">
        <f t="shared" si="0"/>
        <v>286.1590028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89.071669999999997</v>
      </c>
      <c r="AA30" s="16">
        <f t="shared" si="3"/>
        <v>97.978836999999999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52.614820999999999</v>
      </c>
      <c r="AI30" s="16">
        <f t="shared" si="4"/>
        <v>57.876303100000001</v>
      </c>
      <c r="AJ30" s="12" t="s">
        <v>37</v>
      </c>
      <c r="AK30" s="5" t="s">
        <v>43</v>
      </c>
      <c r="AL30" s="5"/>
    </row>
    <row r="31" spans="16:38" ht="15" customHeight="1" thickBot="1" x14ac:dyDescent="0.4">
      <c r="P31" s="28" t="s">
        <v>22</v>
      </c>
      <c r="Q31" s="8" t="s">
        <v>46</v>
      </c>
      <c r="R31" s="15">
        <v>100.433668</v>
      </c>
      <c r="S31" s="15">
        <f t="shared" si="0"/>
        <v>110.47703480000001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49.822712000000003</v>
      </c>
      <c r="AA31" s="15">
        <f t="shared" si="3"/>
        <v>54.804983200000009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15">
        <v>26.333563999999999</v>
      </c>
      <c r="AI31" s="15">
        <f t="shared" si="4"/>
        <v>28.966920400000003</v>
      </c>
      <c r="AJ31" s="5" t="s">
        <v>37</v>
      </c>
      <c r="AK31" s="5" t="s">
        <v>43</v>
      </c>
      <c r="AL31" s="5"/>
    </row>
    <row r="32" spans="16:38" ht="15" customHeight="1" thickBot="1" x14ac:dyDescent="0.4">
      <c r="P32" s="37"/>
      <c r="Q32" s="8" t="s">
        <v>47</v>
      </c>
      <c r="R32" s="15">
        <v>72.389315999999994</v>
      </c>
      <c r="S32" s="15">
        <f t="shared" si="0"/>
        <v>79.628247599999995</v>
      </c>
      <c r="T32" s="5"/>
      <c r="U32" s="5"/>
      <c r="V32" s="5"/>
      <c r="X32" s="37"/>
      <c r="Y32" s="8" t="s">
        <v>47</v>
      </c>
      <c r="Z32" s="15">
        <v>37.478496</v>
      </c>
      <c r="AA32" s="15">
        <f t="shared" si="3"/>
        <v>41.226345600000002</v>
      </c>
      <c r="AB32" s="5"/>
      <c r="AC32" s="5"/>
      <c r="AD32" s="5"/>
      <c r="AF32" s="37"/>
      <c r="AG32" s="8" t="s">
        <v>47</v>
      </c>
      <c r="AH32" s="15">
        <v>19.991137999999999</v>
      </c>
      <c r="AI32" s="15">
        <f t="shared" si="4"/>
        <v>21.990251800000003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75.211976000000007</v>
      </c>
      <c r="S33" s="16">
        <f t="shared" si="0"/>
        <v>82.733173600000015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36.477764000000001</v>
      </c>
      <c r="AA33" s="16">
        <f t="shared" si="3"/>
        <v>40.125540400000006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23.142534000000001</v>
      </c>
      <c r="AI33" s="16">
        <f t="shared" si="4"/>
        <v>25.456787400000003</v>
      </c>
      <c r="AJ33" s="12" t="s">
        <v>37</v>
      </c>
      <c r="AK33" s="5" t="s">
        <v>43</v>
      </c>
      <c r="AL33" s="5"/>
    </row>
    <row r="34" spans="15:38" ht="15" customHeight="1" thickBot="1" x14ac:dyDescent="0.4">
      <c r="P34" s="24" t="s">
        <v>35</v>
      </c>
      <c r="Q34" s="8" t="s">
        <v>46</v>
      </c>
      <c r="R34" s="15">
        <v>262.6210792</v>
      </c>
      <c r="S34" s="15">
        <f t="shared" si="0"/>
        <v>288.88318712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59.24906</v>
      </c>
      <c r="AA34" s="15">
        <f t="shared" si="3"/>
        <v>65.173966000000007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15">
        <v>34.867995000000001</v>
      </c>
      <c r="AI34" s="15">
        <f t="shared" si="4"/>
        <v>38.354794500000004</v>
      </c>
      <c r="AJ34" s="5" t="s">
        <v>37</v>
      </c>
      <c r="AK34" s="5" t="s">
        <v>43</v>
      </c>
      <c r="AL34" s="5"/>
    </row>
    <row r="35" spans="15:38" ht="15" customHeight="1" thickBot="1" x14ac:dyDescent="0.4">
      <c r="P35" s="36"/>
      <c r="Q35" s="8" t="s">
        <v>47</v>
      </c>
      <c r="R35" s="15">
        <v>185.314562</v>
      </c>
      <c r="S35" s="15">
        <f t="shared" si="0"/>
        <v>203.8460182</v>
      </c>
      <c r="T35" s="5"/>
      <c r="U35" s="5"/>
      <c r="V35" s="5"/>
      <c r="X35" s="36"/>
      <c r="Y35" s="8" t="s">
        <v>47</v>
      </c>
      <c r="Z35" s="15">
        <v>55.394804000000001</v>
      </c>
      <c r="AA35" s="15">
        <f t="shared" si="3"/>
        <v>60.934284400000003</v>
      </c>
      <c r="AB35" s="5"/>
      <c r="AC35" s="5"/>
      <c r="AD35" s="5"/>
      <c r="AF35" s="36"/>
      <c r="AG35" s="8" t="s">
        <v>47</v>
      </c>
      <c r="AH35" s="15">
        <v>30.125787500000001</v>
      </c>
      <c r="AI35" s="15">
        <f t="shared" si="4"/>
        <v>33.138366250000004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185.45806400000001</v>
      </c>
      <c r="S36" s="16">
        <f t="shared" si="0"/>
        <v>204.00387040000001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57.381051999999997</v>
      </c>
      <c r="AA36" s="16">
        <f t="shared" si="3"/>
        <v>63.119157200000004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31.9484095</v>
      </c>
      <c r="AI36" s="16">
        <f t="shared" si="4"/>
        <v>35.143250450000004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17">
        <v>296.29962</v>
      </c>
      <c r="S37" s="17">
        <f>R37*(33/33)</f>
        <v>296.29962</v>
      </c>
      <c r="T37" s="5" t="s">
        <v>37</v>
      </c>
      <c r="U37" s="5" t="s">
        <v>43</v>
      </c>
      <c r="V37" s="5"/>
      <c r="X37" s="26" t="s">
        <v>23</v>
      </c>
      <c r="Y37" s="27"/>
      <c r="Z37" s="17">
        <v>186.89988349999999</v>
      </c>
      <c r="AA37" s="17">
        <f>Z37*(33/33)</f>
        <v>186.89988349999999</v>
      </c>
      <c r="AB37" s="5" t="s">
        <v>37</v>
      </c>
      <c r="AC37" s="5" t="s">
        <v>43</v>
      </c>
      <c r="AD37" s="5"/>
      <c r="AF37" s="26" t="s">
        <v>23</v>
      </c>
      <c r="AG37" s="27"/>
      <c r="AH37" s="17">
        <v>176</v>
      </c>
      <c r="AI37" s="17">
        <f>AH37*(33/33)</f>
        <v>176</v>
      </c>
      <c r="AJ37" s="5" t="s">
        <v>37</v>
      </c>
      <c r="AK37" s="5" t="s">
        <v>43</v>
      </c>
      <c r="AL37" s="5"/>
    </row>
    <row r="39" spans="15:38" ht="15" thickBot="1" x14ac:dyDescent="0.4"/>
    <row r="40" spans="15:38" ht="23.5" thickBot="1" x14ac:dyDescent="0.4">
      <c r="P40" s="34" t="s">
        <v>0</v>
      </c>
      <c r="Q40" s="35"/>
      <c r="R40" s="1" t="s">
        <v>1</v>
      </c>
      <c r="S40" s="1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" t="s">
        <v>1</v>
      </c>
      <c r="AA40" s="1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" t="s">
        <v>1</v>
      </c>
      <c r="AI40" s="1"/>
      <c r="AJ40" s="1" t="s">
        <v>25</v>
      </c>
      <c r="AK40" s="1" t="s">
        <v>26</v>
      </c>
      <c r="AL40" s="1" t="s">
        <v>27</v>
      </c>
    </row>
    <row r="41" spans="15:38" ht="15" thickBot="1" x14ac:dyDescent="0.4">
      <c r="O41" s="2" t="s">
        <v>28</v>
      </c>
      <c r="P41" s="32" t="s">
        <v>3</v>
      </c>
      <c r="Q41" s="33"/>
      <c r="R41" s="3"/>
      <c r="S41" s="3"/>
      <c r="T41" s="3"/>
      <c r="U41" s="3"/>
      <c r="V41" s="3"/>
      <c r="W41" s="2" t="s">
        <v>28</v>
      </c>
      <c r="X41" s="32" t="s">
        <v>3</v>
      </c>
      <c r="Y41" s="33"/>
      <c r="Z41" s="20"/>
      <c r="AA41" s="3"/>
      <c r="AB41" s="3"/>
      <c r="AC41" s="3"/>
      <c r="AD41" s="3"/>
      <c r="AE41" s="2" t="s">
        <v>28</v>
      </c>
      <c r="AF41" s="32" t="s">
        <v>3</v>
      </c>
      <c r="AG41" s="33"/>
      <c r="AH41" s="20"/>
      <c r="AI41" s="3"/>
      <c r="AJ41" s="3"/>
      <c r="AK41" s="3"/>
      <c r="AL41" s="3"/>
    </row>
    <row r="42" spans="15:38" ht="15" thickBot="1" x14ac:dyDescent="0.4">
      <c r="O42" s="6" t="s">
        <v>44</v>
      </c>
      <c r="P42" s="30" t="s">
        <v>4</v>
      </c>
      <c r="Q42" s="31"/>
      <c r="R42" s="3"/>
      <c r="S42" s="3"/>
      <c r="T42" s="3"/>
      <c r="U42" s="3"/>
      <c r="V42" s="3"/>
      <c r="W42" s="6" t="s">
        <v>30</v>
      </c>
      <c r="X42" s="30" t="s">
        <v>4</v>
      </c>
      <c r="Y42" s="31"/>
      <c r="Z42" s="20"/>
      <c r="AA42" s="3"/>
      <c r="AB42" s="3"/>
      <c r="AC42" s="3"/>
      <c r="AD42" s="3"/>
      <c r="AE42" s="6" t="s">
        <v>45</v>
      </c>
      <c r="AF42" s="30" t="s">
        <v>4</v>
      </c>
      <c r="AG42" s="31"/>
      <c r="AH42" s="20"/>
      <c r="AI42" s="3"/>
      <c r="AJ42" s="3"/>
      <c r="AK42" s="3"/>
      <c r="AL42" s="3"/>
    </row>
    <row r="43" spans="15:38" ht="15" thickBot="1" x14ac:dyDescent="0.4">
      <c r="P43" s="32" t="s">
        <v>5</v>
      </c>
      <c r="Q43" s="33"/>
      <c r="R43" s="3"/>
      <c r="S43" s="3"/>
      <c r="T43" s="3"/>
      <c r="U43" s="3"/>
      <c r="V43" s="3"/>
      <c r="X43" s="32" t="s">
        <v>5</v>
      </c>
      <c r="Y43" s="33"/>
      <c r="Z43" s="20"/>
      <c r="AA43" s="3"/>
      <c r="AB43" s="3"/>
      <c r="AC43" s="3"/>
      <c r="AD43" s="3"/>
      <c r="AF43" s="32" t="s">
        <v>5</v>
      </c>
      <c r="AG43" s="33"/>
      <c r="AH43" s="20"/>
      <c r="AI43" s="3"/>
      <c r="AJ43" s="3"/>
      <c r="AK43" s="3"/>
      <c r="AL43" s="3"/>
    </row>
    <row r="44" spans="15:38" ht="15" thickBot="1" x14ac:dyDescent="0.4">
      <c r="P44" s="30" t="s">
        <v>6</v>
      </c>
      <c r="Q44" s="31"/>
      <c r="R44" s="3"/>
      <c r="S44" s="3"/>
      <c r="T44" s="3"/>
      <c r="U44" s="3"/>
      <c r="V44" s="3"/>
      <c r="X44" s="30" t="s">
        <v>6</v>
      </c>
      <c r="Y44" s="31"/>
      <c r="Z44" s="20"/>
      <c r="AA44" s="3"/>
      <c r="AB44" s="3"/>
      <c r="AC44" s="3"/>
      <c r="AD44" s="3"/>
      <c r="AF44" s="30" t="s">
        <v>6</v>
      </c>
      <c r="AG44" s="31"/>
      <c r="AH44" s="20"/>
      <c r="AI44" s="3"/>
      <c r="AJ44" s="3"/>
      <c r="AK44" s="3"/>
      <c r="AL44" s="3"/>
    </row>
    <row r="45" spans="15:38" ht="15" thickBot="1" x14ac:dyDescent="0.4">
      <c r="P45" s="32" t="s">
        <v>7</v>
      </c>
      <c r="Q45" s="33"/>
      <c r="R45" s="3"/>
      <c r="S45" s="3"/>
      <c r="T45" s="3"/>
      <c r="U45" s="3"/>
      <c r="V45" s="3"/>
      <c r="X45" s="32" t="s">
        <v>7</v>
      </c>
      <c r="Y45" s="33"/>
      <c r="Z45" s="20"/>
      <c r="AA45" s="3"/>
      <c r="AB45" s="3"/>
      <c r="AC45" s="3"/>
      <c r="AD45" s="3"/>
      <c r="AF45" s="32" t="s">
        <v>7</v>
      </c>
      <c r="AG45" s="33"/>
      <c r="AH45" s="20"/>
      <c r="AI45" s="3"/>
      <c r="AJ45" s="3"/>
      <c r="AK45" s="3"/>
      <c r="AL45" s="3"/>
    </row>
    <row r="46" spans="15:38" ht="15" thickBot="1" x14ac:dyDescent="0.4">
      <c r="P46" s="30" t="s">
        <v>8</v>
      </c>
      <c r="Q46" s="31"/>
      <c r="R46" s="3"/>
      <c r="S46" s="3"/>
      <c r="T46" s="3"/>
      <c r="U46" s="3"/>
      <c r="V46" s="3"/>
      <c r="X46" s="30" t="s">
        <v>8</v>
      </c>
      <c r="Y46" s="31"/>
      <c r="Z46" s="20"/>
      <c r="AA46" s="3"/>
      <c r="AB46" s="3"/>
      <c r="AC46" s="3"/>
      <c r="AD46" s="3"/>
      <c r="AF46" s="30" t="s">
        <v>8</v>
      </c>
      <c r="AG46" s="31"/>
      <c r="AH46" s="20"/>
      <c r="AI46" s="3"/>
      <c r="AJ46" s="3"/>
      <c r="AK46" s="3"/>
      <c r="AL46" s="3"/>
    </row>
    <row r="47" spans="15:38" ht="15" thickBot="1" x14ac:dyDescent="0.4">
      <c r="P47" s="32" t="s">
        <v>9</v>
      </c>
      <c r="Q47" s="33"/>
      <c r="R47" s="3"/>
      <c r="S47" s="3"/>
      <c r="T47" s="3"/>
      <c r="U47" s="3"/>
      <c r="V47" s="3"/>
      <c r="X47" s="32" t="s">
        <v>9</v>
      </c>
      <c r="Y47" s="33"/>
      <c r="Z47" s="20"/>
      <c r="AA47" s="3"/>
      <c r="AB47" s="3"/>
      <c r="AC47" s="3"/>
      <c r="AD47" s="3"/>
      <c r="AF47" s="32" t="s">
        <v>9</v>
      </c>
      <c r="AG47" s="33"/>
      <c r="AH47" s="20"/>
      <c r="AI47" s="3"/>
      <c r="AJ47" s="3"/>
      <c r="AK47" s="3"/>
      <c r="AL47" s="3"/>
    </row>
    <row r="48" spans="15:38" ht="15" thickBot="1" x14ac:dyDescent="0.4">
      <c r="P48" s="30" t="s">
        <v>10</v>
      </c>
      <c r="Q48" s="31"/>
      <c r="R48" s="3"/>
      <c r="S48" s="3"/>
      <c r="T48" s="3"/>
      <c r="U48" s="3"/>
      <c r="V48" s="3"/>
      <c r="X48" s="30" t="s">
        <v>10</v>
      </c>
      <c r="Y48" s="31"/>
      <c r="Z48" s="20"/>
      <c r="AA48" s="3"/>
      <c r="AB48" s="3"/>
      <c r="AC48" s="3"/>
      <c r="AD48" s="3"/>
      <c r="AF48" s="30" t="s">
        <v>10</v>
      </c>
      <c r="AG48" s="31"/>
      <c r="AH48" s="20"/>
      <c r="AI48" s="3"/>
      <c r="AJ48" s="3"/>
      <c r="AK48" s="3"/>
      <c r="AL48" s="3"/>
    </row>
    <row r="49" spans="16:38" ht="15" thickBot="1" x14ac:dyDescent="0.4">
      <c r="P49" s="32" t="s">
        <v>11</v>
      </c>
      <c r="Q49" s="33"/>
      <c r="R49" s="3"/>
      <c r="S49" s="3"/>
      <c r="T49" s="3"/>
      <c r="U49" s="3"/>
      <c r="V49" s="3"/>
      <c r="X49" s="32" t="s">
        <v>11</v>
      </c>
      <c r="Y49" s="33"/>
      <c r="Z49" s="20"/>
      <c r="AA49" s="3"/>
      <c r="AB49" s="3"/>
      <c r="AC49" s="3"/>
      <c r="AD49" s="3"/>
      <c r="AF49" s="32" t="s">
        <v>11</v>
      </c>
      <c r="AG49" s="33"/>
      <c r="AH49" s="20"/>
      <c r="AI49" s="3"/>
      <c r="AJ49" s="3"/>
      <c r="AK49" s="3"/>
      <c r="AL49" s="3"/>
    </row>
    <row r="50" spans="16:38" ht="15" thickBot="1" x14ac:dyDescent="0.4">
      <c r="P50" s="30" t="s">
        <v>12</v>
      </c>
      <c r="Q50" s="31"/>
      <c r="R50" s="3"/>
      <c r="S50" s="3"/>
      <c r="T50" s="3"/>
      <c r="U50" s="3"/>
      <c r="V50" s="3"/>
      <c r="X50" s="30" t="s">
        <v>12</v>
      </c>
      <c r="Y50" s="31"/>
      <c r="Z50" s="20"/>
      <c r="AA50" s="3"/>
      <c r="AB50" s="3"/>
      <c r="AC50" s="3"/>
      <c r="AD50" s="3"/>
      <c r="AF50" s="30" t="s">
        <v>12</v>
      </c>
      <c r="AG50" s="31"/>
      <c r="AH50" s="20"/>
      <c r="AI50" s="3"/>
      <c r="AJ50" s="3"/>
      <c r="AK50" s="3"/>
      <c r="AL50" s="3"/>
    </row>
    <row r="51" spans="16:38" ht="15" thickBot="1" x14ac:dyDescent="0.4">
      <c r="P51" s="32" t="s">
        <v>13</v>
      </c>
      <c r="Q51" s="33"/>
      <c r="R51" s="3"/>
      <c r="S51" s="3"/>
      <c r="T51" s="3"/>
      <c r="U51" s="3"/>
      <c r="V51" s="3"/>
      <c r="X51" s="32" t="s">
        <v>13</v>
      </c>
      <c r="Y51" s="33"/>
      <c r="Z51" s="20"/>
      <c r="AA51" s="3"/>
      <c r="AB51" s="3"/>
      <c r="AC51" s="3"/>
      <c r="AD51" s="3"/>
      <c r="AF51" s="32" t="s">
        <v>13</v>
      </c>
      <c r="AG51" s="33"/>
      <c r="AH51" s="20"/>
      <c r="AI51" s="3"/>
      <c r="AJ51" s="3"/>
      <c r="AK51" s="3"/>
      <c r="AL51" s="3"/>
    </row>
    <row r="52" spans="16:38" ht="15" thickBot="1" x14ac:dyDescent="0.4">
      <c r="P52" s="30" t="s">
        <v>14</v>
      </c>
      <c r="Q52" s="31"/>
      <c r="R52" s="3"/>
      <c r="S52" s="3"/>
      <c r="T52" s="3"/>
      <c r="U52" s="3"/>
      <c r="V52" s="3"/>
      <c r="X52" s="30" t="s">
        <v>14</v>
      </c>
      <c r="Y52" s="31"/>
      <c r="Z52" s="20"/>
      <c r="AA52" s="3"/>
      <c r="AB52" s="3"/>
      <c r="AC52" s="3"/>
      <c r="AD52" s="3"/>
      <c r="AF52" s="30" t="s">
        <v>14</v>
      </c>
      <c r="AG52" s="31"/>
      <c r="AH52" s="20"/>
      <c r="AI52" s="3"/>
      <c r="AJ52" s="3"/>
      <c r="AK52" s="3"/>
      <c r="AL52" s="3"/>
    </row>
    <row r="53" spans="16:38" ht="15" thickBot="1" x14ac:dyDescent="0.4">
      <c r="P53" s="32" t="s">
        <v>15</v>
      </c>
      <c r="Q53" s="33"/>
      <c r="R53" s="3"/>
      <c r="S53" s="3"/>
      <c r="T53" s="3"/>
      <c r="U53" s="3"/>
      <c r="V53" s="3"/>
      <c r="X53" s="32" t="s">
        <v>15</v>
      </c>
      <c r="Y53" s="33"/>
      <c r="Z53" s="20"/>
      <c r="AA53" s="3"/>
      <c r="AB53" s="3"/>
      <c r="AC53" s="3"/>
      <c r="AD53" s="3"/>
      <c r="AF53" s="32" t="s">
        <v>15</v>
      </c>
      <c r="AG53" s="33"/>
      <c r="AH53" s="20"/>
      <c r="AI53" s="3"/>
      <c r="AJ53" s="3"/>
      <c r="AK53" s="3"/>
      <c r="AL53" s="3"/>
    </row>
    <row r="54" spans="16:38" ht="15" thickBot="1" x14ac:dyDescent="0.4">
      <c r="P54" s="30" t="s">
        <v>16</v>
      </c>
      <c r="Q54" s="31"/>
      <c r="R54" s="3"/>
      <c r="S54" s="3"/>
      <c r="T54" s="3"/>
      <c r="U54" s="3"/>
      <c r="V54" s="3"/>
      <c r="X54" s="30" t="s">
        <v>16</v>
      </c>
      <c r="Y54" s="31"/>
      <c r="Z54" s="20"/>
      <c r="AA54" s="3"/>
      <c r="AB54" s="3"/>
      <c r="AC54" s="3"/>
      <c r="AD54" s="3"/>
      <c r="AF54" s="30" t="s">
        <v>16</v>
      </c>
      <c r="AG54" s="31"/>
      <c r="AH54" s="20"/>
      <c r="AI54" s="3"/>
      <c r="AJ54" s="3"/>
      <c r="AK54" s="3"/>
      <c r="AL54" s="3"/>
    </row>
    <row r="55" spans="16:38" ht="15" thickBot="1" x14ac:dyDescent="0.4">
      <c r="P55" s="32" t="s">
        <v>17</v>
      </c>
      <c r="Q55" s="33"/>
      <c r="R55" s="3"/>
      <c r="S55" s="3"/>
      <c r="T55" s="3"/>
      <c r="U55" s="3"/>
      <c r="V55" s="3"/>
      <c r="X55" s="32" t="s">
        <v>17</v>
      </c>
      <c r="Y55" s="33"/>
      <c r="Z55" s="20"/>
      <c r="AA55" s="3"/>
      <c r="AB55" s="3"/>
      <c r="AC55" s="3"/>
      <c r="AD55" s="3"/>
      <c r="AF55" s="32" t="s">
        <v>17</v>
      </c>
      <c r="AG55" s="33"/>
      <c r="AH55" s="20"/>
      <c r="AI55" s="3"/>
      <c r="AJ55" s="3"/>
      <c r="AK55" s="3"/>
      <c r="AL55" s="3"/>
    </row>
    <row r="56" spans="16:38" ht="15" thickBot="1" x14ac:dyDescent="0.4">
      <c r="P56" s="30" t="s">
        <v>18</v>
      </c>
      <c r="Q56" s="31"/>
      <c r="R56" s="3"/>
      <c r="S56" s="3"/>
      <c r="T56" s="3"/>
      <c r="U56" s="3"/>
      <c r="V56" s="3"/>
      <c r="X56" s="30" t="s">
        <v>18</v>
      </c>
      <c r="Y56" s="31"/>
      <c r="Z56" s="20"/>
      <c r="AA56" s="3"/>
      <c r="AB56" s="3"/>
      <c r="AC56" s="3"/>
      <c r="AD56" s="3"/>
      <c r="AF56" s="30" t="s">
        <v>18</v>
      </c>
      <c r="AG56" s="31"/>
      <c r="AH56" s="20"/>
      <c r="AI56" s="3"/>
      <c r="AJ56" s="3"/>
      <c r="AK56" s="3"/>
      <c r="AL56" s="3"/>
    </row>
    <row r="57" spans="16:38" ht="15" customHeight="1" thickBot="1" x14ac:dyDescent="0.4">
      <c r="P57" s="28" t="s">
        <v>31</v>
      </c>
      <c r="Q57" s="8" t="s">
        <v>46</v>
      </c>
      <c r="R57" s="15">
        <v>249.22025600000001</v>
      </c>
      <c r="S57" s="15">
        <f>R57*(36/33)</f>
        <v>271.87664290909089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60.390816000000001</v>
      </c>
      <c r="AA57" s="15">
        <f>Z57*(36/33)</f>
        <v>65.880890181818174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52.7022829</v>
      </c>
      <c r="AI57" s="15">
        <f>AH57*(36/33)</f>
        <v>57.493399527272722</v>
      </c>
      <c r="AJ57" s="3" t="s">
        <v>37</v>
      </c>
      <c r="AK57" s="3" t="s">
        <v>43</v>
      </c>
      <c r="AL57" s="3"/>
    </row>
    <row r="58" spans="16:38" ht="15" customHeight="1" thickBot="1" x14ac:dyDescent="0.4">
      <c r="P58" s="37"/>
      <c r="Q58" s="8" t="s">
        <v>47</v>
      </c>
      <c r="R58" s="15">
        <v>227.98912000000001</v>
      </c>
      <c r="S58" s="15">
        <f>R58*(36/33)</f>
        <v>248.71540363636365</v>
      </c>
      <c r="T58" s="3"/>
      <c r="U58" s="3"/>
      <c r="V58" s="3"/>
      <c r="X58" s="37"/>
      <c r="Y58" s="8" t="s">
        <v>47</v>
      </c>
      <c r="Z58" s="15">
        <v>62.143535999999997</v>
      </c>
      <c r="AA58" s="15">
        <f>Z58*(36/33)</f>
        <v>67.792948363636356</v>
      </c>
      <c r="AB58" s="3"/>
      <c r="AC58" s="3"/>
      <c r="AD58" s="3"/>
      <c r="AF58" s="37"/>
      <c r="AG58" s="8" t="s">
        <v>47</v>
      </c>
      <c r="AH58" s="15">
        <v>51.696528200000003</v>
      </c>
      <c r="AI58" s="15">
        <f>AH58*(36/33)</f>
        <v>56.396212581818183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232.85483600000001</v>
      </c>
      <c r="S59" s="16">
        <f t="shared" ref="S59:S75" si="5">R59*(36/33)</f>
        <v>254.02345745454545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62.944848</v>
      </c>
      <c r="AA59" s="16">
        <f t="shared" ref="AA59:AA64" si="6">Z59*(36/33)</f>
        <v>68.667106909090904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53.386547799999903</v>
      </c>
      <c r="AI59" s="16">
        <f t="shared" ref="AI59:AI64" si="7">AH59*(36/33)</f>
        <v>58.239870327272619</v>
      </c>
      <c r="AJ59" s="13" t="s">
        <v>37</v>
      </c>
      <c r="AK59" s="3" t="s">
        <v>43</v>
      </c>
      <c r="AL59" s="3"/>
    </row>
    <row r="60" spans="16:38" ht="15" customHeight="1" thickBot="1" x14ac:dyDescent="0.4">
      <c r="P60" s="24" t="s">
        <v>32</v>
      </c>
      <c r="Q60" s="8" t="s">
        <v>46</v>
      </c>
      <c r="R60" s="15">
        <v>53.371904000000001</v>
      </c>
      <c r="S60" s="15">
        <f t="shared" si="5"/>
        <v>58.223895272727269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40.454051999999997</v>
      </c>
      <c r="AA60" s="15">
        <f t="shared" si="6"/>
        <v>44.131693090909081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26.972586</v>
      </c>
      <c r="AI60" s="15">
        <f t="shared" si="7"/>
        <v>29.424639272727269</v>
      </c>
      <c r="AJ60" s="3" t="s">
        <v>37</v>
      </c>
      <c r="AK60" s="3" t="s">
        <v>43</v>
      </c>
      <c r="AL60" s="3"/>
    </row>
    <row r="61" spans="16:38" ht="15" customHeight="1" thickBot="1" x14ac:dyDescent="0.4">
      <c r="P61" s="36"/>
      <c r="Q61" s="8" t="s">
        <v>47</v>
      </c>
      <c r="R61" s="15">
        <v>48.515779999999999</v>
      </c>
      <c r="S61" s="15">
        <f t="shared" si="5"/>
        <v>52.926305454545449</v>
      </c>
      <c r="T61" s="3"/>
      <c r="U61" s="3"/>
      <c r="V61" s="3"/>
      <c r="X61" s="36"/>
      <c r="Y61" s="8" t="s">
        <v>47</v>
      </c>
      <c r="Z61" s="15">
        <v>38.779375999999999</v>
      </c>
      <c r="AA61" s="15">
        <f t="shared" si="6"/>
        <v>42.304773818181815</v>
      </c>
      <c r="AB61" s="3"/>
      <c r="AC61" s="3"/>
      <c r="AD61" s="3"/>
      <c r="AF61" s="36"/>
      <c r="AG61" s="8" t="s">
        <v>47</v>
      </c>
      <c r="AH61" s="15">
        <v>27.214580000000002</v>
      </c>
      <c r="AI61" s="15">
        <f t="shared" si="7"/>
        <v>29.688632727272726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50.561411999999997</v>
      </c>
      <c r="S62" s="16">
        <f t="shared" si="5"/>
        <v>55.157903999999995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38.897607999999998</v>
      </c>
      <c r="AA62" s="16">
        <f t="shared" si="6"/>
        <v>42.433754181818173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27.73931</v>
      </c>
      <c r="AI62" s="16">
        <f t="shared" si="7"/>
        <v>30.261065454545452</v>
      </c>
      <c r="AJ62" s="13" t="s">
        <v>37</v>
      </c>
      <c r="AK62" s="3" t="s">
        <v>43</v>
      </c>
      <c r="AL62" s="3"/>
    </row>
    <row r="63" spans="16:38" ht="15" customHeight="1" thickBot="1" x14ac:dyDescent="0.4">
      <c r="P63" s="24" t="s">
        <v>33</v>
      </c>
      <c r="Q63" s="8" t="s">
        <v>46</v>
      </c>
      <c r="R63" s="15">
        <v>194.23184000000001</v>
      </c>
      <c r="S63" s="15">
        <f t="shared" si="5"/>
        <v>211.88927999999999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42.339199999999998</v>
      </c>
      <c r="AA63" s="15">
        <f t="shared" si="6"/>
        <v>46.188218181818179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36.717804999999998</v>
      </c>
      <c r="AI63" s="15">
        <f t="shared" si="7"/>
        <v>40.055787272727265</v>
      </c>
      <c r="AJ63" s="3" t="s">
        <v>37</v>
      </c>
      <c r="AK63" s="3" t="s">
        <v>43</v>
      </c>
      <c r="AL63" s="3"/>
    </row>
    <row r="64" spans="16:38" ht="15" customHeight="1" thickBot="1" x14ac:dyDescent="0.4">
      <c r="P64" s="36"/>
      <c r="Q64" s="8" t="s">
        <v>47</v>
      </c>
      <c r="R64" s="15">
        <v>195.890232</v>
      </c>
      <c r="S64" s="15">
        <f t="shared" si="5"/>
        <v>213.69843490909088</v>
      </c>
      <c r="T64" s="3"/>
      <c r="U64" s="3"/>
      <c r="V64" s="3"/>
      <c r="X64" s="36"/>
      <c r="Y64" s="8" t="s">
        <v>47</v>
      </c>
      <c r="Z64" s="15">
        <v>45.432935999999998</v>
      </c>
      <c r="AA64" s="15">
        <f t="shared" si="6"/>
        <v>49.563202909090904</v>
      </c>
      <c r="AB64" s="3"/>
      <c r="AC64" s="3"/>
      <c r="AD64" s="3"/>
      <c r="AF64" s="36"/>
      <c r="AG64" s="8" t="s">
        <v>47</v>
      </c>
      <c r="AH64" s="15">
        <v>35.382093500000003</v>
      </c>
      <c r="AI64" s="15">
        <f t="shared" si="7"/>
        <v>38.598647454545457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200.75880799999999</v>
      </c>
      <c r="S65" s="16">
        <f>R65*(36/33)</f>
        <v>219.00960872727271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44.866036000000001</v>
      </c>
      <c r="AA65" s="16">
        <f>Z65*(36/33)</f>
        <v>48.944766545454542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39.734403499999999</v>
      </c>
      <c r="AI65" s="16">
        <f>AH65*(36/33)</f>
        <v>43.346621999999996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17">
        <v>315.79848800000002</v>
      </c>
      <c r="S66" s="17">
        <f>R66*(36/36)</f>
        <v>315.79848800000002</v>
      </c>
      <c r="T66" s="3" t="s">
        <v>37</v>
      </c>
      <c r="U66" s="3" t="s">
        <v>43</v>
      </c>
      <c r="V66" s="3"/>
      <c r="X66" s="26" t="s">
        <v>34</v>
      </c>
      <c r="Y66" s="27"/>
      <c r="Z66" s="17">
        <v>205.16565100000003</v>
      </c>
      <c r="AA66" s="17">
        <f>Z66*(36/36)</f>
        <v>205.16565100000003</v>
      </c>
      <c r="AB66" s="3" t="s">
        <v>37</v>
      </c>
      <c r="AC66" s="3" t="s">
        <v>43</v>
      </c>
      <c r="AD66" s="3"/>
      <c r="AF66" s="26" t="s">
        <v>34</v>
      </c>
      <c r="AG66" s="27"/>
      <c r="AH66" s="17">
        <v>186.6</v>
      </c>
      <c r="AI66" s="17">
        <f>AH66*(36/36)</f>
        <v>186.6</v>
      </c>
      <c r="AJ66" s="3" t="s">
        <v>37</v>
      </c>
      <c r="AK66" s="3" t="s">
        <v>43</v>
      </c>
      <c r="AL66" s="3"/>
    </row>
    <row r="67" spans="16:38" ht="15" customHeight="1" thickBot="1" x14ac:dyDescent="0.4">
      <c r="P67" s="28" t="s">
        <v>21</v>
      </c>
      <c r="Q67" s="8" t="s">
        <v>46</v>
      </c>
      <c r="R67" s="15">
        <v>279.66716000000002</v>
      </c>
      <c r="S67" s="15">
        <f t="shared" si="5"/>
        <v>305.09144727272729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62.90652</v>
      </c>
      <c r="AA67" s="15">
        <f t="shared" ref="AA67:AA75" si="8">Z67*(36/33)</f>
        <v>68.625294545454537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15">
        <v>52.948067799999997</v>
      </c>
      <c r="AI67" s="15">
        <f t="shared" ref="AI67:AI75" si="9">AH67*(36/33)</f>
        <v>57.761528509090901</v>
      </c>
      <c r="AJ67" s="3" t="s">
        <v>37</v>
      </c>
      <c r="AK67" s="3" t="s">
        <v>43</v>
      </c>
      <c r="AL67" s="3"/>
    </row>
    <row r="68" spans="16:38" ht="15" customHeight="1" thickBot="1" x14ac:dyDescent="0.4">
      <c r="P68" s="37"/>
      <c r="Q68" s="8" t="s">
        <v>47</v>
      </c>
      <c r="R68" s="15">
        <v>255.68985599999999</v>
      </c>
      <c r="S68" s="15">
        <f t="shared" si="5"/>
        <v>278.93438836363634</v>
      </c>
      <c r="T68" s="3"/>
      <c r="U68" s="3"/>
      <c r="V68" s="3"/>
      <c r="X68" s="37"/>
      <c r="Y68" s="8" t="s">
        <v>47</v>
      </c>
      <c r="Z68" s="15">
        <v>64.705207999999999</v>
      </c>
      <c r="AA68" s="15">
        <f t="shared" si="8"/>
        <v>70.587499636363631</v>
      </c>
      <c r="AB68" s="3"/>
      <c r="AC68" s="3"/>
      <c r="AD68" s="3"/>
      <c r="AF68" s="37"/>
      <c r="AG68" s="8" t="s">
        <v>47</v>
      </c>
      <c r="AH68" s="15">
        <v>51.941095900000001</v>
      </c>
      <c r="AI68" s="15">
        <f t="shared" si="9"/>
        <v>56.663013709090905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261.01576799999998</v>
      </c>
      <c r="S69" s="16">
        <f t="shared" si="5"/>
        <v>284.74447418181813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65.550104000000005</v>
      </c>
      <c r="AA69" s="16">
        <f t="shared" si="8"/>
        <v>71.509204363636357</v>
      </c>
      <c r="AB69" s="13" t="s">
        <v>37</v>
      </c>
      <c r="AC69" s="3" t="s">
        <v>43</v>
      </c>
      <c r="AD69" s="3"/>
      <c r="AF69" s="29"/>
      <c r="AG69" s="4" t="s">
        <v>20</v>
      </c>
      <c r="AH69" s="16">
        <v>53.640772799999901</v>
      </c>
      <c r="AI69" s="16">
        <f t="shared" si="9"/>
        <v>58.517206690908978</v>
      </c>
      <c r="AJ69" s="13" t="s">
        <v>37</v>
      </c>
      <c r="AK69" s="3" t="s">
        <v>43</v>
      </c>
      <c r="AL69" s="3"/>
    </row>
    <row r="70" spans="16:38" ht="15" customHeight="1" thickBot="1" x14ac:dyDescent="0.4">
      <c r="P70" s="28" t="s">
        <v>22</v>
      </c>
      <c r="Q70" s="8" t="s">
        <v>46</v>
      </c>
      <c r="R70" s="15">
        <v>59.936351999999999</v>
      </c>
      <c r="S70" s="15">
        <f t="shared" si="5"/>
        <v>65.385111272727272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42.954327999999997</v>
      </c>
      <c r="AA70" s="15">
        <f t="shared" si="8"/>
        <v>46.859266909090906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15">
        <v>27.607682</v>
      </c>
      <c r="AI70" s="15">
        <f t="shared" si="9"/>
        <v>30.117471272727272</v>
      </c>
      <c r="AJ70" s="3" t="s">
        <v>37</v>
      </c>
      <c r="AK70" s="3" t="s">
        <v>43</v>
      </c>
      <c r="AL70" s="3"/>
    </row>
    <row r="71" spans="16:38" ht="15" customHeight="1" thickBot="1" x14ac:dyDescent="0.4">
      <c r="P71" s="37"/>
      <c r="Q71" s="8" t="s">
        <v>47</v>
      </c>
      <c r="R71" s="15">
        <v>54.157048000000003</v>
      </c>
      <c r="S71" s="15">
        <f t="shared" si="5"/>
        <v>59.080416</v>
      </c>
      <c r="T71" s="3"/>
      <c r="U71" s="3"/>
      <c r="V71" s="3"/>
      <c r="X71" s="37"/>
      <c r="Y71" s="8" t="s">
        <v>47</v>
      </c>
      <c r="Z71" s="15">
        <v>41.249907999999998</v>
      </c>
      <c r="AA71" s="15">
        <f t="shared" si="8"/>
        <v>44.999899636363629</v>
      </c>
      <c r="AB71" s="3"/>
      <c r="AC71" s="3"/>
      <c r="AD71" s="3"/>
      <c r="AF71" s="37"/>
      <c r="AG71" s="8" t="s">
        <v>47</v>
      </c>
      <c r="AH71" s="15">
        <v>28.110828000000001</v>
      </c>
      <c r="AI71" s="15">
        <f t="shared" si="9"/>
        <v>30.666357818181819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56.406391999999997</v>
      </c>
      <c r="S72" s="16">
        <f t="shared" si="5"/>
        <v>61.534245818181809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41.405487999999998</v>
      </c>
      <c r="AA72" s="16">
        <f t="shared" si="8"/>
        <v>45.169623272727264</v>
      </c>
      <c r="AB72" s="13" t="s">
        <v>37</v>
      </c>
      <c r="AC72" s="3" t="s">
        <v>43</v>
      </c>
      <c r="AD72" s="3"/>
      <c r="AF72" s="29"/>
      <c r="AG72" s="4" t="s">
        <v>20</v>
      </c>
      <c r="AH72" s="16">
        <v>28.662092000000001</v>
      </c>
      <c r="AI72" s="16">
        <f t="shared" si="9"/>
        <v>31.267736727272727</v>
      </c>
      <c r="AJ72" s="13" t="s">
        <v>37</v>
      </c>
      <c r="AK72" s="3" t="s">
        <v>43</v>
      </c>
      <c r="AL72" s="3"/>
    </row>
    <row r="73" spans="16:38" ht="15" customHeight="1" thickBot="1" x14ac:dyDescent="0.4">
      <c r="P73" s="24" t="s">
        <v>35</v>
      </c>
      <c r="Q73" s="8" t="s">
        <v>46</v>
      </c>
      <c r="R73" s="15">
        <v>217.607056</v>
      </c>
      <c r="S73" s="15">
        <f t="shared" si="5"/>
        <v>237.38951563636363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45.738244000000002</v>
      </c>
      <c r="AA73" s="15">
        <f t="shared" si="8"/>
        <v>49.896266181818177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15">
        <v>36.793350500000003</v>
      </c>
      <c r="AI73" s="15">
        <f t="shared" si="9"/>
        <v>40.138200545454545</v>
      </c>
      <c r="AJ73" s="3" t="s">
        <v>37</v>
      </c>
      <c r="AK73" s="3" t="s">
        <v>43</v>
      </c>
      <c r="AL73" s="3"/>
    </row>
    <row r="74" spans="16:38" ht="15" customHeight="1" thickBot="1" x14ac:dyDescent="0.4">
      <c r="P74" s="36"/>
      <c r="Q74" s="8" t="s">
        <v>47</v>
      </c>
      <c r="R74" s="15">
        <v>219.82657599999999</v>
      </c>
      <c r="S74" s="15">
        <f t="shared" si="5"/>
        <v>239.81081018181814</v>
      </c>
      <c r="T74" s="3"/>
      <c r="U74" s="3"/>
      <c r="V74" s="3"/>
      <c r="X74" s="36"/>
      <c r="Y74" s="8" t="s">
        <v>47</v>
      </c>
      <c r="Z74" s="15">
        <v>48.844028000000002</v>
      </c>
      <c r="AA74" s="15">
        <f t="shared" si="8"/>
        <v>53.284394181818179</v>
      </c>
      <c r="AB74" s="3"/>
      <c r="AC74" s="3"/>
      <c r="AD74" s="3"/>
      <c r="AF74" s="36"/>
      <c r="AG74" s="8" t="s">
        <v>47</v>
      </c>
      <c r="AH74" s="15">
        <v>35.466813500000001</v>
      </c>
      <c r="AI74" s="15">
        <f t="shared" si="9"/>
        <v>38.691069272727269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225.174104</v>
      </c>
      <c r="S75" s="16">
        <f t="shared" si="5"/>
        <v>245.64447709090908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48.323403999999996</v>
      </c>
      <c r="AA75" s="16">
        <f t="shared" si="8"/>
        <v>52.716440727272719</v>
      </c>
      <c r="AB75" s="13" t="s">
        <v>37</v>
      </c>
      <c r="AC75" s="3" t="s">
        <v>43</v>
      </c>
      <c r="AD75" s="3"/>
      <c r="AF75" s="25"/>
      <c r="AG75" s="4" t="s">
        <v>20</v>
      </c>
      <c r="AH75" s="16">
        <v>39.9051805</v>
      </c>
      <c r="AI75" s="16">
        <f t="shared" si="9"/>
        <v>43.532924181818181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17">
        <v>336.806468</v>
      </c>
      <c r="S76" s="17">
        <f>R76*(36/36)</f>
        <v>336.806468</v>
      </c>
      <c r="T76" s="3" t="s">
        <v>37</v>
      </c>
      <c r="U76" s="3" t="s">
        <v>43</v>
      </c>
      <c r="V76" s="3"/>
      <c r="X76" s="26" t="s">
        <v>23</v>
      </c>
      <c r="Y76" s="27"/>
      <c r="Z76" s="17">
        <v>214.39873800000001</v>
      </c>
      <c r="AA76" s="17">
        <f>Z76*(36/36)</f>
        <v>214.39873800000001</v>
      </c>
      <c r="AB76" s="3" t="s">
        <v>37</v>
      </c>
      <c r="AC76" s="3" t="s">
        <v>43</v>
      </c>
      <c r="AD76" s="3"/>
      <c r="AF76" s="26" t="s">
        <v>23</v>
      </c>
      <c r="AG76" s="27"/>
      <c r="AH76" s="17">
        <v>191.5</v>
      </c>
      <c r="AI76" s="17">
        <f>AH76*(36/36)</f>
        <v>191.5</v>
      </c>
      <c r="AJ76" s="3" t="s">
        <v>37</v>
      </c>
      <c r="AK76" s="3" t="s">
        <v>43</v>
      </c>
      <c r="AL76" s="3"/>
    </row>
    <row r="80" spans="16:38" ht="15" thickBot="1" x14ac:dyDescent="0.4"/>
    <row r="81" spans="17:20" ht="15" thickBot="1" x14ac:dyDescent="0.4">
      <c r="Q81" s="28"/>
      <c r="R81" s="8"/>
      <c r="S81" s="9"/>
      <c r="T81" s="9"/>
    </row>
    <row r="82" spans="17:20" ht="15" thickBot="1" x14ac:dyDescent="0.4">
      <c r="Q82" s="29"/>
      <c r="R82" s="4"/>
      <c r="S82" s="5"/>
      <c r="T82" s="5"/>
    </row>
    <row r="83" spans="17:20" ht="15" thickBot="1" x14ac:dyDescent="0.4">
      <c r="Q83" s="24"/>
      <c r="R83" s="8"/>
      <c r="S83" s="9"/>
      <c r="T83" s="9"/>
    </row>
    <row r="84" spans="17:20" ht="15" thickBot="1" x14ac:dyDescent="0.4">
      <c r="Q84" s="25"/>
      <c r="R84" s="4"/>
      <c r="S84" s="5"/>
      <c r="T84" s="5"/>
    </row>
    <row r="85" spans="17:20" ht="15" thickBot="1" x14ac:dyDescent="0.4">
      <c r="Q85" s="24"/>
      <c r="R85" s="8"/>
      <c r="S85" s="9"/>
      <c r="T85" s="9"/>
    </row>
    <row r="86" spans="17:20" ht="15" thickBot="1" x14ac:dyDescent="0.4">
      <c r="Q86" s="25"/>
      <c r="R86" s="4"/>
      <c r="S86" s="5"/>
      <c r="T86" s="5"/>
    </row>
    <row r="87" spans="17:20" ht="15" thickBot="1" x14ac:dyDescent="0.4">
      <c r="Q87" s="26"/>
      <c r="R87" s="27"/>
      <c r="S87" s="7"/>
      <c r="T87" s="7"/>
    </row>
    <row r="88" spans="17:20" ht="15" thickBot="1" x14ac:dyDescent="0.4">
      <c r="Q88" s="28"/>
      <c r="R88" s="8"/>
      <c r="S88" s="9"/>
      <c r="T88" s="9"/>
    </row>
    <row r="89" spans="17:20" ht="15" thickBot="1" x14ac:dyDescent="0.4">
      <c r="Q89" s="29"/>
      <c r="R89" s="4"/>
      <c r="S89" s="5"/>
      <c r="T89" s="5"/>
    </row>
    <row r="90" spans="17:20" ht="15" thickBot="1" x14ac:dyDescent="0.4">
      <c r="Q90" s="28"/>
      <c r="R90" s="8"/>
      <c r="S90" s="9"/>
      <c r="T90" s="9"/>
    </row>
    <row r="91" spans="17:20" ht="15" thickBot="1" x14ac:dyDescent="0.4">
      <c r="Q91" s="29"/>
      <c r="R91" s="4"/>
      <c r="S91" s="5"/>
      <c r="T91" s="5"/>
    </row>
    <row r="92" spans="17:20" ht="15" thickBot="1" x14ac:dyDescent="0.4">
      <c r="Q92" s="24"/>
      <c r="R92" s="8"/>
      <c r="S92" s="9"/>
      <c r="T92" s="9"/>
    </row>
    <row r="93" spans="17:20" ht="15" thickBot="1" x14ac:dyDescent="0.4">
      <c r="Q93" s="25"/>
      <c r="R93" s="4"/>
      <c r="S93" s="5"/>
      <c r="T93" s="5"/>
    </row>
    <row r="94" spans="17:20" ht="15" thickBot="1" x14ac:dyDescent="0.4">
      <c r="Q94" s="26"/>
      <c r="R94" s="27"/>
      <c r="S94" s="7"/>
      <c r="T94" s="7"/>
    </row>
  </sheetData>
  <mergeCells count="158">
    <mergeCell ref="Q92:Q93"/>
    <mergeCell ref="Q94:R94"/>
    <mergeCell ref="Q81:Q82"/>
    <mergeCell ref="Q83:Q84"/>
    <mergeCell ref="Q85:Q86"/>
    <mergeCell ref="Q87:R87"/>
    <mergeCell ref="Q88:Q89"/>
    <mergeCell ref="Q90:Q91"/>
    <mergeCell ref="P73:P75"/>
    <mergeCell ref="X73:X75"/>
    <mergeCell ref="AF73:AF75"/>
    <mergeCell ref="P76:Q76"/>
    <mergeCell ref="X76:Y76"/>
    <mergeCell ref="AF76:AG76"/>
    <mergeCell ref="P67:P69"/>
    <mergeCell ref="X67:X69"/>
    <mergeCell ref="AF67:AF69"/>
    <mergeCell ref="P70:P72"/>
    <mergeCell ref="X70:X72"/>
    <mergeCell ref="AF70:AF72"/>
    <mergeCell ref="P63:P65"/>
    <mergeCell ref="X63:X65"/>
    <mergeCell ref="AF63:AF65"/>
    <mergeCell ref="P66:Q66"/>
    <mergeCell ref="X66:Y66"/>
    <mergeCell ref="AF66:AG66"/>
    <mergeCell ref="P57:P59"/>
    <mergeCell ref="X57:X59"/>
    <mergeCell ref="AF57:AF59"/>
    <mergeCell ref="P60:P62"/>
    <mergeCell ref="X60:X62"/>
    <mergeCell ref="AF60:AF62"/>
    <mergeCell ref="P55:Q55"/>
    <mergeCell ref="X55:Y55"/>
    <mergeCell ref="AF55:AG55"/>
    <mergeCell ref="P56:Q56"/>
    <mergeCell ref="X56:Y56"/>
    <mergeCell ref="AF56:AG56"/>
    <mergeCell ref="P53:Q53"/>
    <mergeCell ref="X53:Y53"/>
    <mergeCell ref="AF53:AG53"/>
    <mergeCell ref="P54:Q54"/>
    <mergeCell ref="X54:Y54"/>
    <mergeCell ref="AF54:AG54"/>
    <mergeCell ref="P51:Q51"/>
    <mergeCell ref="X51:Y51"/>
    <mergeCell ref="AF51:AG51"/>
    <mergeCell ref="P52:Q52"/>
    <mergeCell ref="X52:Y52"/>
    <mergeCell ref="AF52:AG52"/>
    <mergeCell ref="P49:Q49"/>
    <mergeCell ref="X49:Y49"/>
    <mergeCell ref="AF49:AG49"/>
    <mergeCell ref="P50:Q50"/>
    <mergeCell ref="X50:Y50"/>
    <mergeCell ref="AF50:AG50"/>
    <mergeCell ref="P47:Q47"/>
    <mergeCell ref="X47:Y47"/>
    <mergeCell ref="AF47:AG47"/>
    <mergeCell ref="P48:Q48"/>
    <mergeCell ref="X48:Y48"/>
    <mergeCell ref="AF48:AG48"/>
    <mergeCell ref="P45:Q45"/>
    <mergeCell ref="X45:Y45"/>
    <mergeCell ref="AF45:AG45"/>
    <mergeCell ref="P46:Q46"/>
    <mergeCell ref="X46:Y46"/>
    <mergeCell ref="AF46:AG46"/>
    <mergeCell ref="P43:Q43"/>
    <mergeCell ref="X43:Y43"/>
    <mergeCell ref="AF43:AG43"/>
    <mergeCell ref="P44:Q44"/>
    <mergeCell ref="X44:Y44"/>
    <mergeCell ref="AF44:AG44"/>
    <mergeCell ref="P41:Q41"/>
    <mergeCell ref="X41:Y41"/>
    <mergeCell ref="AF41:AG41"/>
    <mergeCell ref="P42:Q42"/>
    <mergeCell ref="X42:Y42"/>
    <mergeCell ref="AF42:AG42"/>
    <mergeCell ref="P37:Q37"/>
    <mergeCell ref="X37:Y37"/>
    <mergeCell ref="AF37:AG37"/>
    <mergeCell ref="P40:Q40"/>
    <mergeCell ref="X40:Y40"/>
    <mergeCell ref="AF40:AG40"/>
    <mergeCell ref="P31:P33"/>
    <mergeCell ref="X31:X33"/>
    <mergeCell ref="AF31:AF33"/>
    <mergeCell ref="P34:P36"/>
    <mergeCell ref="X34:X36"/>
    <mergeCell ref="AF34:AF36"/>
    <mergeCell ref="P27:Q27"/>
    <mergeCell ref="X27:Y27"/>
    <mergeCell ref="AF27:AG27"/>
    <mergeCell ref="P28:P30"/>
    <mergeCell ref="X28:X30"/>
    <mergeCell ref="AF28:AF30"/>
    <mergeCell ref="P21:P23"/>
    <mergeCell ref="X21:X23"/>
    <mergeCell ref="AF21:AF23"/>
    <mergeCell ref="P24:P26"/>
    <mergeCell ref="X24:X26"/>
    <mergeCell ref="AF24:AF26"/>
    <mergeCell ref="P17:Q17"/>
    <mergeCell ref="X17:Y17"/>
    <mergeCell ref="AF17:AG17"/>
    <mergeCell ref="P18:P20"/>
    <mergeCell ref="X18:X20"/>
    <mergeCell ref="AF18:AF20"/>
    <mergeCell ref="P15:Q15"/>
    <mergeCell ref="X15:Y15"/>
    <mergeCell ref="AF15:AG15"/>
    <mergeCell ref="P16:Q16"/>
    <mergeCell ref="X16:Y16"/>
    <mergeCell ref="AF16:AG16"/>
    <mergeCell ref="P13:Q13"/>
    <mergeCell ref="X13:Y13"/>
    <mergeCell ref="AF13:AG13"/>
    <mergeCell ref="P14:Q14"/>
    <mergeCell ref="X14:Y14"/>
    <mergeCell ref="AF14:AG14"/>
    <mergeCell ref="P11:Q11"/>
    <mergeCell ref="X11:Y11"/>
    <mergeCell ref="AF11:AG11"/>
    <mergeCell ref="P12:Q12"/>
    <mergeCell ref="X12:Y12"/>
    <mergeCell ref="AF12:AG12"/>
    <mergeCell ref="P9:Q9"/>
    <mergeCell ref="X9:Y9"/>
    <mergeCell ref="AF9:AG9"/>
    <mergeCell ref="P10:Q10"/>
    <mergeCell ref="X10:Y10"/>
    <mergeCell ref="AF10:AG10"/>
    <mergeCell ref="P7:Q7"/>
    <mergeCell ref="X7:Y7"/>
    <mergeCell ref="AF7:AG7"/>
    <mergeCell ref="P8:Q8"/>
    <mergeCell ref="X8:Y8"/>
    <mergeCell ref="AF8:AG8"/>
    <mergeCell ref="P6:Q6"/>
    <mergeCell ref="X6:Y6"/>
    <mergeCell ref="AF6:AG6"/>
    <mergeCell ref="P3:Q3"/>
    <mergeCell ref="X3:Y3"/>
    <mergeCell ref="AF3:AG3"/>
    <mergeCell ref="P4:Q4"/>
    <mergeCell ref="X4:Y4"/>
    <mergeCell ref="AF4:AG4"/>
    <mergeCell ref="P1:Q1"/>
    <mergeCell ref="X1:Y1"/>
    <mergeCell ref="AF1:AG1"/>
    <mergeCell ref="P2:Q2"/>
    <mergeCell ref="X2:Y2"/>
    <mergeCell ref="AF2:AG2"/>
    <mergeCell ref="P5:Q5"/>
    <mergeCell ref="X5:Y5"/>
    <mergeCell ref="AF5:AG5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5BA5-24DD-4F10-A9E3-CCE8FB2B8A50}">
  <sheetPr>
    <tabColor rgb="FFFF0000"/>
  </sheetPr>
  <dimension ref="O1:AD64"/>
  <sheetViews>
    <sheetView workbookViewId="0">
      <selection activeCell="H16" sqref="H1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6" max="16" width="26.1796875" customWidth="1"/>
    <col min="17" max="17" width="28.54296875" customWidth="1"/>
    <col min="18" max="18" width="11.54296875" bestFit="1" customWidth="1"/>
    <col min="20" max="20" width="12.453125" customWidth="1"/>
    <col min="22" max="22" width="10.54296875" customWidth="1"/>
    <col min="24" max="24" width="26.1796875" customWidth="1"/>
    <col min="25" max="25" width="28.54296875" customWidth="1"/>
    <col min="26" max="26" width="11.54296875" bestFit="1" customWidth="1"/>
  </cols>
  <sheetData>
    <row r="1" spans="15:30" ht="15" thickBot="1" x14ac:dyDescent="0.4">
      <c r="P1" s="34" t="s">
        <v>0</v>
      </c>
      <c r="Q1" s="35"/>
      <c r="R1" s="1" t="s">
        <v>26</v>
      </c>
      <c r="S1" s="1"/>
      <c r="T1" s="1"/>
      <c r="U1" s="1"/>
      <c r="V1" s="1"/>
      <c r="X1" s="34" t="s">
        <v>0</v>
      </c>
      <c r="Y1" s="35"/>
      <c r="Z1" s="1" t="s">
        <v>26</v>
      </c>
      <c r="AA1" s="1"/>
      <c r="AB1" s="1"/>
      <c r="AC1" s="1"/>
      <c r="AD1" s="1"/>
    </row>
    <row r="2" spans="15:30" ht="15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</row>
    <row r="3" spans="15:30" ht="15" thickBot="1" x14ac:dyDescent="0.4">
      <c r="O3" s="6" t="s">
        <v>29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</row>
    <row r="4" spans="15:30" ht="15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</row>
    <row r="5" spans="15:30" ht="15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</row>
    <row r="6" spans="15:30" ht="15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</row>
    <row r="7" spans="15:30" ht="15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</row>
    <row r="8" spans="15:30" ht="15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</row>
    <row r="9" spans="15:30" ht="15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</row>
    <row r="10" spans="15:30" ht="15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</row>
    <row r="11" spans="15:30" ht="15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</row>
    <row r="12" spans="15:30" ht="15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</row>
    <row r="13" spans="15:30" ht="15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</row>
    <row r="14" spans="15:30" ht="15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</row>
    <row r="15" spans="15:30" ht="15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</row>
    <row r="16" spans="15:30" ht="15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</row>
    <row r="17" spans="16:30" ht="15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</row>
    <row r="18" spans="16:30" ht="15" customHeight="1" thickBot="1" x14ac:dyDescent="0.4">
      <c r="P18" s="28" t="s">
        <v>31</v>
      </c>
      <c r="Q18" s="8" t="s">
        <v>19</v>
      </c>
      <c r="R18" s="10"/>
      <c r="S18" s="9">
        <f>R18*(33/30)</f>
        <v>0</v>
      </c>
      <c r="T18" s="5" t="s">
        <v>37</v>
      </c>
      <c r="U18" s="5">
        <v>222.9</v>
      </c>
      <c r="V18" s="14" t="s">
        <v>41</v>
      </c>
      <c r="X18" s="28" t="s">
        <v>31</v>
      </c>
      <c r="Y18" s="8" t="s">
        <v>19</v>
      </c>
      <c r="Z18" s="10"/>
      <c r="AA18" s="9">
        <f>Z18*(33/30)</f>
        <v>0</v>
      </c>
      <c r="AB18" s="5" t="s">
        <v>37</v>
      </c>
      <c r="AC18" s="5">
        <v>133.80000000000001</v>
      </c>
      <c r="AD18" s="5" t="s">
        <v>41</v>
      </c>
    </row>
    <row r="19" spans="16:30" ht="15" thickBot="1" x14ac:dyDescent="0.4">
      <c r="P19" s="29"/>
      <c r="Q19" s="4" t="s">
        <v>20</v>
      </c>
      <c r="R19" s="11"/>
      <c r="S19" s="5">
        <f t="shared" ref="S19:S30" si="0">R19*(33/30)</f>
        <v>0</v>
      </c>
      <c r="T19" s="12" t="s">
        <v>37</v>
      </c>
      <c r="U19" s="5">
        <v>233</v>
      </c>
      <c r="V19" s="14" t="s">
        <v>41</v>
      </c>
      <c r="X19" s="29"/>
      <c r="Y19" s="4" t="s">
        <v>20</v>
      </c>
      <c r="Z19" s="11"/>
      <c r="AA19" s="5">
        <f t="shared" ref="AA19:AA23" si="1">Z19*(33/30)</f>
        <v>0</v>
      </c>
      <c r="AB19" s="12" t="s">
        <v>37</v>
      </c>
      <c r="AC19" s="5">
        <v>145.80000000000001</v>
      </c>
      <c r="AD19" s="5" t="s">
        <v>40</v>
      </c>
    </row>
    <row r="20" spans="16:30" ht="15" customHeight="1" thickBot="1" x14ac:dyDescent="0.4">
      <c r="P20" s="24" t="s">
        <v>32</v>
      </c>
      <c r="Q20" s="8" t="s">
        <v>19</v>
      </c>
      <c r="R20" s="9"/>
      <c r="S20" s="9">
        <f t="shared" si="0"/>
        <v>0</v>
      </c>
      <c r="T20" s="5" t="s">
        <v>42</v>
      </c>
      <c r="U20" s="5">
        <v>40.700000000000003</v>
      </c>
      <c r="V20" s="14" t="s">
        <v>39</v>
      </c>
      <c r="X20" s="24" t="s">
        <v>32</v>
      </c>
      <c r="Y20" s="8" t="s">
        <v>19</v>
      </c>
      <c r="Z20" s="9"/>
      <c r="AA20" s="9">
        <f t="shared" si="1"/>
        <v>0</v>
      </c>
      <c r="AB20" s="5" t="s">
        <v>37</v>
      </c>
      <c r="AC20" s="5">
        <v>56.4</v>
      </c>
      <c r="AD20" s="5" t="s">
        <v>41</v>
      </c>
    </row>
    <row r="21" spans="16:30" ht="15" thickBot="1" x14ac:dyDescent="0.4">
      <c r="P21" s="25"/>
      <c r="Q21" s="4" t="s">
        <v>20</v>
      </c>
      <c r="R21" s="5"/>
      <c r="S21" s="5">
        <f t="shared" si="0"/>
        <v>0</v>
      </c>
      <c r="T21" s="12" t="s">
        <v>42</v>
      </c>
      <c r="U21" s="5">
        <v>39.200000000000003</v>
      </c>
      <c r="V21" s="14" t="s">
        <v>39</v>
      </c>
      <c r="X21" s="25"/>
      <c r="Y21" s="4" t="s">
        <v>20</v>
      </c>
      <c r="Z21" s="5"/>
      <c r="AA21" s="5">
        <f t="shared" si="1"/>
        <v>0</v>
      </c>
      <c r="AB21" s="12" t="s">
        <v>37</v>
      </c>
      <c r="AC21" s="5">
        <v>40.200000000000003</v>
      </c>
      <c r="AD21" s="5" t="s">
        <v>40</v>
      </c>
    </row>
    <row r="22" spans="16:30" ht="15" customHeight="1" thickBot="1" x14ac:dyDescent="0.4">
      <c r="P22" s="24" t="s">
        <v>33</v>
      </c>
      <c r="Q22" s="8" t="s">
        <v>19</v>
      </c>
      <c r="R22" s="10"/>
      <c r="S22" s="9">
        <f t="shared" si="0"/>
        <v>0</v>
      </c>
      <c r="T22" s="5" t="s">
        <v>37</v>
      </c>
      <c r="U22" s="5">
        <v>97.9</v>
      </c>
      <c r="V22" s="14" t="s">
        <v>38</v>
      </c>
      <c r="X22" s="24" t="s">
        <v>33</v>
      </c>
      <c r="Y22" s="8" t="s">
        <v>19</v>
      </c>
      <c r="Z22" s="9"/>
      <c r="AA22" s="9">
        <f t="shared" si="1"/>
        <v>0</v>
      </c>
      <c r="AB22" s="5" t="s">
        <v>37</v>
      </c>
      <c r="AC22" s="5">
        <v>54</v>
      </c>
      <c r="AD22" s="5" t="s">
        <v>41</v>
      </c>
    </row>
    <row r="23" spans="16:30" ht="15" thickBot="1" x14ac:dyDescent="0.4">
      <c r="P23" s="25"/>
      <c r="Q23" s="4" t="s">
        <v>20</v>
      </c>
      <c r="R23" s="11"/>
      <c r="S23" s="5">
        <f t="shared" si="0"/>
        <v>0</v>
      </c>
      <c r="T23" s="12" t="s">
        <v>37</v>
      </c>
      <c r="U23" s="5">
        <v>72.7</v>
      </c>
      <c r="V23" s="14" t="s">
        <v>38</v>
      </c>
      <c r="X23" s="25"/>
      <c r="Y23" s="4" t="s">
        <v>20</v>
      </c>
      <c r="Z23" s="5"/>
      <c r="AA23" s="5">
        <f t="shared" si="1"/>
        <v>0</v>
      </c>
      <c r="AB23" s="12" t="s">
        <v>37</v>
      </c>
      <c r="AC23" s="5">
        <v>37.4</v>
      </c>
      <c r="AD23" s="5" t="s">
        <v>41</v>
      </c>
    </row>
    <row r="24" spans="16:30" ht="15" customHeight="1" thickBot="1" x14ac:dyDescent="0.4">
      <c r="P24" s="26" t="s">
        <v>34</v>
      </c>
      <c r="Q24" s="27"/>
      <c r="R24" s="7"/>
      <c r="S24" s="7">
        <f>R24*(33/33)</f>
        <v>0</v>
      </c>
      <c r="T24" s="5" t="s">
        <v>37</v>
      </c>
      <c r="U24" s="5"/>
      <c r="V24" s="5"/>
      <c r="X24" s="26" t="s">
        <v>34</v>
      </c>
      <c r="Y24" s="27"/>
      <c r="Z24" s="7"/>
      <c r="AA24" s="7">
        <f>Z24*(33/33)</f>
        <v>0</v>
      </c>
      <c r="AB24" s="5" t="s">
        <v>37</v>
      </c>
      <c r="AC24" s="5"/>
      <c r="AD24" s="5"/>
    </row>
    <row r="25" spans="16:30" ht="15" customHeight="1" thickBot="1" x14ac:dyDescent="0.4">
      <c r="P25" s="28" t="s">
        <v>21</v>
      </c>
      <c r="Q25" s="8" t="s">
        <v>19</v>
      </c>
      <c r="R25" s="10"/>
      <c r="S25" s="9">
        <f t="shared" si="0"/>
        <v>0</v>
      </c>
      <c r="T25" s="5" t="s">
        <v>37</v>
      </c>
      <c r="U25" s="5">
        <v>250.7</v>
      </c>
      <c r="V25" s="5" t="s">
        <v>41</v>
      </c>
      <c r="X25" s="28" t="s">
        <v>21</v>
      </c>
      <c r="Y25" s="8" t="s">
        <v>19</v>
      </c>
      <c r="Z25" s="10"/>
      <c r="AA25" s="9">
        <f t="shared" ref="AA25:AA30" si="2">Z25*(33/30)</f>
        <v>0</v>
      </c>
      <c r="AB25" s="5" t="s">
        <v>37</v>
      </c>
      <c r="AC25" s="5">
        <v>140.69999999999999</v>
      </c>
      <c r="AD25" s="5" t="s">
        <v>41</v>
      </c>
    </row>
    <row r="26" spans="16:30" ht="15" thickBot="1" x14ac:dyDescent="0.4">
      <c r="P26" s="29"/>
      <c r="Q26" s="4" t="s">
        <v>20</v>
      </c>
      <c r="R26" s="11"/>
      <c r="S26" s="5">
        <f t="shared" si="0"/>
        <v>0</v>
      </c>
      <c r="T26" s="12" t="s">
        <v>37</v>
      </c>
      <c r="U26" s="5">
        <v>261.3</v>
      </c>
      <c r="V26" s="5" t="s">
        <v>41</v>
      </c>
      <c r="X26" s="29"/>
      <c r="Y26" s="4" t="s">
        <v>20</v>
      </c>
      <c r="Z26" s="11"/>
      <c r="AA26" s="5">
        <f t="shared" si="2"/>
        <v>0</v>
      </c>
      <c r="AB26" s="12" t="s">
        <v>37</v>
      </c>
      <c r="AC26" s="5">
        <v>153.9</v>
      </c>
      <c r="AD26" s="5" t="s">
        <v>40</v>
      </c>
    </row>
    <row r="27" spans="16:30" ht="15" customHeight="1" thickBot="1" x14ac:dyDescent="0.4">
      <c r="P27" s="28" t="s">
        <v>22</v>
      </c>
      <c r="Q27" s="8" t="s">
        <v>19</v>
      </c>
      <c r="R27" s="9"/>
      <c r="S27" s="9">
        <f t="shared" si="0"/>
        <v>0</v>
      </c>
      <c r="T27" s="5" t="s">
        <v>37</v>
      </c>
      <c r="U27" s="5">
        <v>44.8</v>
      </c>
      <c r="V27" s="14" t="s">
        <v>39</v>
      </c>
      <c r="X27" s="28" t="s">
        <v>22</v>
      </c>
      <c r="Y27" s="8" t="s">
        <v>19</v>
      </c>
      <c r="Z27" s="9"/>
      <c r="AA27" s="9">
        <f t="shared" si="2"/>
        <v>0</v>
      </c>
      <c r="AB27" s="5" t="s">
        <v>37</v>
      </c>
      <c r="AC27" s="5">
        <v>60</v>
      </c>
      <c r="AD27" s="5" t="s">
        <v>41</v>
      </c>
    </row>
    <row r="28" spans="16:30" ht="15" thickBot="1" x14ac:dyDescent="0.4">
      <c r="P28" s="29"/>
      <c r="Q28" s="4" t="s">
        <v>20</v>
      </c>
      <c r="R28" s="5"/>
      <c r="S28" s="5">
        <f t="shared" si="0"/>
        <v>0</v>
      </c>
      <c r="T28" s="12" t="s">
        <v>37</v>
      </c>
      <c r="U28" s="5">
        <v>43</v>
      </c>
      <c r="V28" s="14" t="s">
        <v>39</v>
      </c>
      <c r="X28" s="29"/>
      <c r="Y28" s="4" t="s">
        <v>20</v>
      </c>
      <c r="Z28" s="5"/>
      <c r="AA28" s="5">
        <f t="shared" si="2"/>
        <v>0</v>
      </c>
      <c r="AB28" s="12" t="s">
        <v>37</v>
      </c>
      <c r="AC28" s="5">
        <v>43.1</v>
      </c>
      <c r="AD28" s="5" t="s">
        <v>40</v>
      </c>
    </row>
    <row r="29" spans="16:30" ht="15" customHeight="1" thickBot="1" x14ac:dyDescent="0.4">
      <c r="P29" s="24" t="s">
        <v>35</v>
      </c>
      <c r="Q29" s="8" t="s">
        <v>19</v>
      </c>
      <c r="R29" s="10"/>
      <c r="S29" s="9">
        <f t="shared" si="0"/>
        <v>0</v>
      </c>
      <c r="T29" s="5" t="s">
        <v>37</v>
      </c>
      <c r="U29" s="5">
        <v>110.2</v>
      </c>
      <c r="V29" s="14" t="s">
        <v>38</v>
      </c>
      <c r="X29" s="24" t="s">
        <v>35</v>
      </c>
      <c r="Y29" s="8" t="s">
        <v>19</v>
      </c>
      <c r="Z29" s="9"/>
      <c r="AA29" s="9">
        <f t="shared" si="2"/>
        <v>0</v>
      </c>
      <c r="AB29" s="5" t="s">
        <v>37</v>
      </c>
      <c r="AC29" s="5">
        <v>58.8</v>
      </c>
      <c r="AD29" s="5" t="s">
        <v>41</v>
      </c>
    </row>
    <row r="30" spans="16:30" ht="15" thickBot="1" x14ac:dyDescent="0.4">
      <c r="P30" s="25"/>
      <c r="Q30" s="4" t="s">
        <v>20</v>
      </c>
      <c r="R30" s="11"/>
      <c r="S30" s="5">
        <f t="shared" si="0"/>
        <v>0</v>
      </c>
      <c r="T30" s="12" t="s">
        <v>37</v>
      </c>
      <c r="U30" s="5">
        <v>81.8</v>
      </c>
      <c r="V30" s="14" t="s">
        <v>38</v>
      </c>
      <c r="X30" s="25"/>
      <c r="Y30" s="4" t="s">
        <v>20</v>
      </c>
      <c r="Z30" s="5"/>
      <c r="AA30" s="5">
        <f t="shared" si="2"/>
        <v>0</v>
      </c>
      <c r="AB30" s="12" t="s">
        <v>37</v>
      </c>
      <c r="AC30" s="5">
        <v>40.5</v>
      </c>
      <c r="AD30" s="5" t="s">
        <v>41</v>
      </c>
    </row>
    <row r="31" spans="16:30" ht="15" customHeight="1" thickBot="1" x14ac:dyDescent="0.4">
      <c r="P31" s="26" t="s">
        <v>23</v>
      </c>
      <c r="Q31" s="27"/>
      <c r="R31" s="7"/>
      <c r="S31" s="7">
        <f>R31*(33/33)</f>
        <v>0</v>
      </c>
      <c r="T31" s="5" t="s">
        <v>37</v>
      </c>
      <c r="U31" s="5"/>
      <c r="V31" s="5"/>
      <c r="X31" s="26" t="s">
        <v>23</v>
      </c>
      <c r="Y31" s="27"/>
      <c r="Z31" s="7"/>
      <c r="AA31" s="7">
        <f>Z31*(33/33)</f>
        <v>0</v>
      </c>
      <c r="AB31" s="5" t="s">
        <v>37</v>
      </c>
      <c r="AC31" s="5"/>
      <c r="AD31" s="5"/>
    </row>
    <row r="33" spans="15:30" ht="15" thickBot="1" x14ac:dyDescent="0.4"/>
    <row r="34" spans="15:30" ht="23.5" thickBot="1" x14ac:dyDescent="0.4">
      <c r="P34" s="34" t="s">
        <v>0</v>
      </c>
      <c r="Q34" s="35"/>
      <c r="R34" s="1" t="s">
        <v>1</v>
      </c>
      <c r="S34" s="1" t="s">
        <v>24</v>
      </c>
      <c r="T34" s="1" t="s">
        <v>25</v>
      </c>
      <c r="U34" s="1" t="s">
        <v>26</v>
      </c>
      <c r="V34" s="1" t="s">
        <v>27</v>
      </c>
      <c r="X34" s="34" t="s">
        <v>0</v>
      </c>
      <c r="Y34" s="35"/>
      <c r="Z34" s="1" t="s">
        <v>1</v>
      </c>
      <c r="AA34" s="1" t="s">
        <v>24</v>
      </c>
      <c r="AB34" s="1" t="s">
        <v>25</v>
      </c>
      <c r="AC34" s="1" t="s">
        <v>26</v>
      </c>
      <c r="AD34" s="1" t="s">
        <v>27</v>
      </c>
    </row>
    <row r="35" spans="15:30" ht="15" thickBot="1" x14ac:dyDescent="0.4">
      <c r="O35" s="2" t="s">
        <v>28</v>
      </c>
      <c r="P35" s="32" t="s">
        <v>3</v>
      </c>
      <c r="Q35" s="33"/>
      <c r="R35" s="3"/>
      <c r="S35" s="3"/>
      <c r="T35" s="3"/>
      <c r="U35" s="3"/>
      <c r="V35" s="3"/>
      <c r="W35" s="2" t="s">
        <v>28</v>
      </c>
      <c r="X35" s="32" t="s">
        <v>3</v>
      </c>
      <c r="Y35" s="33"/>
      <c r="Z35" s="3"/>
      <c r="AA35" s="3"/>
      <c r="AB35" s="3"/>
      <c r="AC35" s="3"/>
      <c r="AD35" s="3"/>
    </row>
    <row r="36" spans="15:30" ht="15" thickBot="1" x14ac:dyDescent="0.4">
      <c r="O36" s="6" t="s">
        <v>29</v>
      </c>
      <c r="P36" s="30" t="s">
        <v>4</v>
      </c>
      <c r="Q36" s="31"/>
      <c r="R36" s="3"/>
      <c r="S36" s="3"/>
      <c r="T36" s="3"/>
      <c r="U36" s="3"/>
      <c r="V36" s="3"/>
      <c r="W36" s="6" t="s">
        <v>30</v>
      </c>
      <c r="X36" s="30" t="s">
        <v>4</v>
      </c>
      <c r="Y36" s="31"/>
      <c r="Z36" s="3"/>
      <c r="AA36" s="3"/>
      <c r="AB36" s="3"/>
      <c r="AC36" s="3"/>
      <c r="AD36" s="3"/>
    </row>
    <row r="37" spans="15:30" ht="15" thickBot="1" x14ac:dyDescent="0.4">
      <c r="P37" s="32" t="s">
        <v>5</v>
      </c>
      <c r="Q37" s="33"/>
      <c r="R37" s="3"/>
      <c r="S37" s="3"/>
      <c r="T37" s="3"/>
      <c r="U37" s="3"/>
      <c r="V37" s="3"/>
      <c r="X37" s="32" t="s">
        <v>5</v>
      </c>
      <c r="Y37" s="33"/>
      <c r="Z37" s="3"/>
      <c r="AA37" s="3"/>
      <c r="AB37" s="3"/>
      <c r="AC37" s="3"/>
      <c r="AD37" s="3"/>
    </row>
    <row r="38" spans="15:30" ht="15" thickBot="1" x14ac:dyDescent="0.4">
      <c r="P38" s="30" t="s">
        <v>6</v>
      </c>
      <c r="Q38" s="31"/>
      <c r="R38" s="3"/>
      <c r="S38" s="3"/>
      <c r="T38" s="3"/>
      <c r="U38" s="3"/>
      <c r="V38" s="3"/>
      <c r="X38" s="30" t="s">
        <v>6</v>
      </c>
      <c r="Y38" s="31"/>
      <c r="Z38" s="3"/>
      <c r="AA38" s="3"/>
      <c r="AB38" s="3"/>
      <c r="AC38" s="3"/>
      <c r="AD38" s="3"/>
    </row>
    <row r="39" spans="15:30" ht="15" thickBot="1" x14ac:dyDescent="0.4">
      <c r="P39" s="32" t="s">
        <v>7</v>
      </c>
      <c r="Q39" s="33"/>
      <c r="R39" s="3"/>
      <c r="S39" s="3"/>
      <c r="T39" s="3"/>
      <c r="U39" s="3"/>
      <c r="V39" s="3"/>
      <c r="X39" s="32" t="s">
        <v>7</v>
      </c>
      <c r="Y39" s="33"/>
      <c r="Z39" s="3"/>
      <c r="AA39" s="3"/>
      <c r="AB39" s="3"/>
      <c r="AC39" s="3"/>
      <c r="AD39" s="3"/>
    </row>
    <row r="40" spans="15:30" ht="15" thickBot="1" x14ac:dyDescent="0.4">
      <c r="P40" s="30" t="s">
        <v>8</v>
      </c>
      <c r="Q40" s="31"/>
      <c r="R40" s="3"/>
      <c r="S40" s="3"/>
      <c r="T40" s="3"/>
      <c r="U40" s="3"/>
      <c r="V40" s="3"/>
      <c r="X40" s="30" t="s">
        <v>8</v>
      </c>
      <c r="Y40" s="31"/>
      <c r="Z40" s="3"/>
      <c r="AA40" s="3"/>
      <c r="AB40" s="3"/>
      <c r="AC40" s="3"/>
      <c r="AD40" s="3"/>
    </row>
    <row r="41" spans="15:30" ht="15" thickBot="1" x14ac:dyDescent="0.4">
      <c r="P41" s="32" t="s">
        <v>9</v>
      </c>
      <c r="Q41" s="33"/>
      <c r="R41" s="3"/>
      <c r="S41" s="3"/>
      <c r="T41" s="3"/>
      <c r="U41" s="3"/>
      <c r="V41" s="3"/>
      <c r="X41" s="32" t="s">
        <v>9</v>
      </c>
      <c r="Y41" s="33"/>
      <c r="Z41" s="3"/>
      <c r="AA41" s="3"/>
      <c r="AB41" s="3"/>
      <c r="AC41" s="3"/>
      <c r="AD41" s="3"/>
    </row>
    <row r="42" spans="15:30" ht="15" thickBot="1" x14ac:dyDescent="0.4">
      <c r="P42" s="30" t="s">
        <v>10</v>
      </c>
      <c r="Q42" s="31"/>
      <c r="R42" s="3"/>
      <c r="S42" s="3"/>
      <c r="T42" s="3"/>
      <c r="U42" s="3"/>
      <c r="V42" s="3"/>
      <c r="X42" s="30" t="s">
        <v>10</v>
      </c>
      <c r="Y42" s="31"/>
      <c r="Z42" s="3"/>
      <c r="AA42" s="3"/>
      <c r="AB42" s="3"/>
      <c r="AC42" s="3"/>
      <c r="AD42" s="3"/>
    </row>
    <row r="43" spans="15:30" ht="15" thickBot="1" x14ac:dyDescent="0.4">
      <c r="P43" s="32" t="s">
        <v>11</v>
      </c>
      <c r="Q43" s="33"/>
      <c r="R43" s="3"/>
      <c r="S43" s="3"/>
      <c r="T43" s="3"/>
      <c r="U43" s="3"/>
      <c r="V43" s="3"/>
      <c r="X43" s="32" t="s">
        <v>11</v>
      </c>
      <c r="Y43" s="33"/>
      <c r="Z43" s="3"/>
      <c r="AA43" s="3"/>
      <c r="AB43" s="3"/>
      <c r="AC43" s="3"/>
      <c r="AD43" s="3"/>
    </row>
    <row r="44" spans="15:30" ht="15" thickBot="1" x14ac:dyDescent="0.4">
      <c r="P44" s="30" t="s">
        <v>12</v>
      </c>
      <c r="Q44" s="31"/>
      <c r="R44" s="3"/>
      <c r="S44" s="3"/>
      <c r="T44" s="3"/>
      <c r="U44" s="3"/>
      <c r="V44" s="3"/>
      <c r="X44" s="30" t="s">
        <v>12</v>
      </c>
      <c r="Y44" s="31"/>
      <c r="Z44" s="3"/>
      <c r="AA44" s="3"/>
      <c r="AB44" s="3"/>
      <c r="AC44" s="3"/>
      <c r="AD44" s="3"/>
    </row>
    <row r="45" spans="15:30" ht="15" thickBot="1" x14ac:dyDescent="0.4">
      <c r="P45" s="32" t="s">
        <v>13</v>
      </c>
      <c r="Q45" s="33"/>
      <c r="R45" s="3"/>
      <c r="S45" s="3"/>
      <c r="T45" s="3"/>
      <c r="U45" s="3"/>
      <c r="V45" s="3"/>
      <c r="X45" s="32" t="s">
        <v>13</v>
      </c>
      <c r="Y45" s="33"/>
      <c r="Z45" s="3"/>
      <c r="AA45" s="3"/>
      <c r="AB45" s="3"/>
      <c r="AC45" s="3"/>
      <c r="AD45" s="3"/>
    </row>
    <row r="46" spans="15:30" ht="15" thickBot="1" x14ac:dyDescent="0.4">
      <c r="P46" s="30" t="s">
        <v>14</v>
      </c>
      <c r="Q46" s="31"/>
      <c r="R46" s="3"/>
      <c r="S46" s="3"/>
      <c r="T46" s="3"/>
      <c r="U46" s="3"/>
      <c r="V46" s="3"/>
      <c r="X46" s="30" t="s">
        <v>14</v>
      </c>
      <c r="Y46" s="31"/>
      <c r="Z46" s="3"/>
      <c r="AA46" s="3"/>
      <c r="AB46" s="3"/>
      <c r="AC46" s="3"/>
      <c r="AD46" s="3"/>
    </row>
    <row r="47" spans="15:30" ht="15" thickBot="1" x14ac:dyDescent="0.4">
      <c r="P47" s="32" t="s">
        <v>15</v>
      </c>
      <c r="Q47" s="33"/>
      <c r="R47" s="3"/>
      <c r="S47" s="3"/>
      <c r="T47" s="3"/>
      <c r="U47" s="3"/>
      <c r="V47" s="3"/>
      <c r="X47" s="32" t="s">
        <v>15</v>
      </c>
      <c r="Y47" s="33"/>
      <c r="Z47" s="3"/>
      <c r="AA47" s="3"/>
      <c r="AB47" s="3"/>
      <c r="AC47" s="3"/>
      <c r="AD47" s="3"/>
    </row>
    <row r="48" spans="15:30" ht="15" thickBot="1" x14ac:dyDescent="0.4">
      <c r="P48" s="30" t="s">
        <v>16</v>
      </c>
      <c r="Q48" s="31"/>
      <c r="R48" s="3"/>
      <c r="S48" s="3"/>
      <c r="T48" s="3"/>
      <c r="U48" s="3"/>
      <c r="V48" s="3"/>
      <c r="X48" s="30" t="s">
        <v>16</v>
      </c>
      <c r="Y48" s="31"/>
      <c r="Z48" s="3"/>
      <c r="AA48" s="3"/>
      <c r="AB48" s="3"/>
      <c r="AC48" s="3"/>
      <c r="AD48" s="3"/>
    </row>
    <row r="49" spans="16:30" ht="15" thickBot="1" x14ac:dyDescent="0.4">
      <c r="P49" s="32" t="s">
        <v>17</v>
      </c>
      <c r="Q49" s="33"/>
      <c r="R49" s="3"/>
      <c r="S49" s="3"/>
      <c r="T49" s="3"/>
      <c r="U49" s="3"/>
      <c r="V49" s="3"/>
      <c r="X49" s="32" t="s">
        <v>17</v>
      </c>
      <c r="Y49" s="33"/>
      <c r="Z49" s="3"/>
      <c r="AA49" s="3"/>
      <c r="AB49" s="3"/>
      <c r="AC49" s="3"/>
      <c r="AD49" s="3"/>
    </row>
    <row r="50" spans="16:30" ht="15" thickBot="1" x14ac:dyDescent="0.4">
      <c r="P50" s="30" t="s">
        <v>18</v>
      </c>
      <c r="Q50" s="31"/>
      <c r="R50" s="3"/>
      <c r="S50" s="3"/>
      <c r="T50" s="3"/>
      <c r="U50" s="3"/>
      <c r="V50" s="3"/>
      <c r="X50" s="30" t="s">
        <v>18</v>
      </c>
      <c r="Y50" s="31"/>
      <c r="Z50" s="3"/>
      <c r="AA50" s="3"/>
      <c r="AB50" s="3"/>
      <c r="AC50" s="3"/>
      <c r="AD50" s="3"/>
    </row>
    <row r="51" spans="16:30" ht="15" customHeight="1" thickBot="1" x14ac:dyDescent="0.4">
      <c r="P51" s="28" t="s">
        <v>31</v>
      </c>
      <c r="Q51" s="8" t="s">
        <v>19</v>
      </c>
      <c r="R51" s="10"/>
      <c r="S51" s="9">
        <f>R51*(36/33)</f>
        <v>0</v>
      </c>
      <c r="T51" s="3" t="s">
        <v>37</v>
      </c>
      <c r="U51" s="3">
        <v>208.8</v>
      </c>
      <c r="V51" s="3" t="s">
        <v>40</v>
      </c>
      <c r="X51" s="28" t="s">
        <v>31</v>
      </c>
      <c r="Y51" s="8" t="s">
        <v>19</v>
      </c>
      <c r="Z51" s="10"/>
      <c r="AA51" s="9">
        <f>Z51*(36/33)</f>
        <v>0</v>
      </c>
      <c r="AB51" s="3" t="s">
        <v>37</v>
      </c>
      <c r="AC51" s="3">
        <v>101.1</v>
      </c>
      <c r="AD51" s="3" t="s">
        <v>41</v>
      </c>
    </row>
    <row r="52" spans="16:30" ht="15" thickBot="1" x14ac:dyDescent="0.4">
      <c r="P52" s="29"/>
      <c r="Q52" s="4" t="s">
        <v>20</v>
      </c>
      <c r="R52" s="11"/>
      <c r="S52" s="5">
        <f t="shared" ref="S52:S63" si="3">R52*(36/33)</f>
        <v>0</v>
      </c>
      <c r="T52" s="13" t="s">
        <v>37</v>
      </c>
      <c r="U52" s="3">
        <v>204.5</v>
      </c>
      <c r="V52" s="3" t="s">
        <v>41</v>
      </c>
      <c r="X52" s="29"/>
      <c r="Y52" s="4" t="s">
        <v>20</v>
      </c>
      <c r="Z52" s="11"/>
      <c r="AA52" s="5">
        <f t="shared" ref="AA52:AA56" si="4">Z52*(36/33)</f>
        <v>0</v>
      </c>
      <c r="AB52" s="13" t="s">
        <v>37</v>
      </c>
      <c r="AC52" s="3">
        <v>107.5</v>
      </c>
      <c r="AD52" s="3" t="s">
        <v>40</v>
      </c>
    </row>
    <row r="53" spans="16:30" ht="15" customHeight="1" thickBot="1" x14ac:dyDescent="0.4">
      <c r="P53" s="24" t="s">
        <v>32</v>
      </c>
      <c r="Q53" s="8" t="s">
        <v>19</v>
      </c>
      <c r="R53" s="9"/>
      <c r="S53" s="9">
        <f t="shared" si="3"/>
        <v>0</v>
      </c>
      <c r="T53" s="3" t="s">
        <v>37</v>
      </c>
      <c r="U53" s="3">
        <v>41.2</v>
      </c>
      <c r="V53" s="3" t="s">
        <v>41</v>
      </c>
      <c r="X53" s="24" t="s">
        <v>32</v>
      </c>
      <c r="Y53" s="8" t="s">
        <v>19</v>
      </c>
      <c r="Z53" s="9"/>
      <c r="AA53" s="9">
        <f t="shared" si="4"/>
        <v>0</v>
      </c>
      <c r="AB53" s="3" t="s">
        <v>37</v>
      </c>
      <c r="AC53" s="3">
        <v>41.6</v>
      </c>
      <c r="AD53" s="3" t="s">
        <v>40</v>
      </c>
    </row>
    <row r="54" spans="16:30" ht="15" thickBot="1" x14ac:dyDescent="0.4">
      <c r="P54" s="25"/>
      <c r="Q54" s="4" t="s">
        <v>20</v>
      </c>
      <c r="R54" s="5"/>
      <c r="S54" s="5">
        <f t="shared" si="3"/>
        <v>0</v>
      </c>
      <c r="T54" s="13" t="s">
        <v>37</v>
      </c>
      <c r="U54" s="3">
        <v>41</v>
      </c>
      <c r="V54" s="3" t="s">
        <v>41</v>
      </c>
      <c r="X54" s="25"/>
      <c r="Y54" s="4" t="s">
        <v>20</v>
      </c>
      <c r="Z54" s="5"/>
      <c r="AA54" s="5">
        <f t="shared" si="4"/>
        <v>0</v>
      </c>
      <c r="AB54" s="13" t="s">
        <v>37</v>
      </c>
      <c r="AC54" s="3">
        <v>32.6</v>
      </c>
      <c r="AD54" s="3" t="s">
        <v>40</v>
      </c>
    </row>
    <row r="55" spans="16:30" ht="15" customHeight="1" thickBot="1" x14ac:dyDescent="0.4">
      <c r="P55" s="24" t="s">
        <v>33</v>
      </c>
      <c r="Q55" s="8" t="s">
        <v>19</v>
      </c>
      <c r="R55" s="10"/>
      <c r="S55" s="9">
        <f t="shared" si="3"/>
        <v>0</v>
      </c>
      <c r="T55" s="3" t="s">
        <v>37</v>
      </c>
      <c r="U55" s="3">
        <v>97.7</v>
      </c>
      <c r="V55" s="3" t="s">
        <v>40</v>
      </c>
      <c r="X55" s="24" t="s">
        <v>33</v>
      </c>
      <c r="Y55" s="8" t="s">
        <v>19</v>
      </c>
      <c r="Z55" s="9"/>
      <c r="AA55" s="9">
        <f t="shared" si="4"/>
        <v>0</v>
      </c>
      <c r="AB55" s="3" t="s">
        <v>37</v>
      </c>
      <c r="AC55" s="3">
        <v>21.9</v>
      </c>
      <c r="AD55" s="3" t="s">
        <v>41</v>
      </c>
    </row>
    <row r="56" spans="16:30" ht="15" thickBot="1" x14ac:dyDescent="0.4">
      <c r="P56" s="25"/>
      <c r="Q56" s="4" t="s">
        <v>20</v>
      </c>
      <c r="R56" s="11"/>
      <c r="S56" s="5">
        <f t="shared" si="3"/>
        <v>0</v>
      </c>
      <c r="T56" s="13" t="s">
        <v>37</v>
      </c>
      <c r="U56" s="3">
        <v>106.6</v>
      </c>
      <c r="V56" s="3" t="s">
        <v>40</v>
      </c>
      <c r="X56" s="25"/>
      <c r="Y56" s="4" t="s">
        <v>20</v>
      </c>
      <c r="Z56" s="5"/>
      <c r="AA56" s="5">
        <f t="shared" si="4"/>
        <v>0</v>
      </c>
      <c r="AB56" s="13" t="s">
        <v>37</v>
      </c>
      <c r="AC56" s="3">
        <v>24.7</v>
      </c>
      <c r="AD56" s="3" t="s">
        <v>41</v>
      </c>
    </row>
    <row r="57" spans="16:30" ht="15" customHeight="1" thickBot="1" x14ac:dyDescent="0.4">
      <c r="P57" s="26" t="s">
        <v>34</v>
      </c>
      <c r="Q57" s="27"/>
      <c r="R57" s="7"/>
      <c r="S57" s="7">
        <f>R57*(36/36)</f>
        <v>0</v>
      </c>
      <c r="T57" s="3" t="s">
        <v>37</v>
      </c>
      <c r="U57" s="3"/>
      <c r="V57" s="3"/>
      <c r="X57" s="26" t="s">
        <v>34</v>
      </c>
      <c r="Y57" s="27"/>
      <c r="Z57" s="7"/>
      <c r="AA57" s="7">
        <f>Z57*(36/36)</f>
        <v>0</v>
      </c>
      <c r="AB57" s="3" t="s">
        <v>37</v>
      </c>
      <c r="AC57" s="3"/>
      <c r="AD57" s="3"/>
    </row>
    <row r="58" spans="16:30" ht="15" customHeight="1" thickBot="1" x14ac:dyDescent="0.4">
      <c r="P58" s="28" t="s">
        <v>21</v>
      </c>
      <c r="Q58" s="8" t="s">
        <v>19</v>
      </c>
      <c r="R58" s="10"/>
      <c r="S58" s="9">
        <f>R58*(36/33)</f>
        <v>0</v>
      </c>
      <c r="T58" s="3" t="s">
        <v>37</v>
      </c>
      <c r="U58" s="3">
        <v>233.6</v>
      </c>
      <c r="V58" s="3" t="s">
        <v>40</v>
      </c>
      <c r="X58" s="28" t="s">
        <v>21</v>
      </c>
      <c r="Y58" s="8" t="s">
        <v>19</v>
      </c>
      <c r="Z58" s="10"/>
      <c r="AA58" s="9">
        <f>Z58*(36/33)</f>
        <v>0</v>
      </c>
      <c r="AB58" s="3" t="s">
        <v>37</v>
      </c>
      <c r="AC58" s="3">
        <v>105.9</v>
      </c>
      <c r="AD58" s="3" t="s">
        <v>41</v>
      </c>
    </row>
    <row r="59" spans="16:30" ht="15" thickBot="1" x14ac:dyDescent="0.4">
      <c r="P59" s="29"/>
      <c r="Q59" s="4" t="s">
        <v>20</v>
      </c>
      <c r="R59" s="11"/>
      <c r="S59" s="5">
        <f t="shared" si="3"/>
        <v>0</v>
      </c>
      <c r="T59" s="13" t="s">
        <v>37</v>
      </c>
      <c r="U59" s="3">
        <v>226.6</v>
      </c>
      <c r="V59" s="3" t="s">
        <v>41</v>
      </c>
      <c r="X59" s="29"/>
      <c r="Y59" s="4" t="s">
        <v>20</v>
      </c>
      <c r="Z59" s="11"/>
      <c r="AA59" s="5">
        <f t="shared" ref="AA59:AA63" si="5">Z59*(36/33)</f>
        <v>0</v>
      </c>
      <c r="AB59" s="13" t="s">
        <v>37</v>
      </c>
      <c r="AC59" s="3">
        <v>113.2</v>
      </c>
      <c r="AD59" s="3" t="s">
        <v>40</v>
      </c>
    </row>
    <row r="60" spans="16:30" ht="15" customHeight="1" thickBot="1" x14ac:dyDescent="0.4">
      <c r="P60" s="28" t="s">
        <v>22</v>
      </c>
      <c r="Q60" s="8" t="s">
        <v>19</v>
      </c>
      <c r="R60" s="9"/>
      <c r="S60" s="9">
        <f t="shared" si="3"/>
        <v>0</v>
      </c>
      <c r="T60" s="3" t="s">
        <v>37</v>
      </c>
      <c r="U60" s="3">
        <v>45.6</v>
      </c>
      <c r="V60" s="3" t="s">
        <v>41</v>
      </c>
      <c r="X60" s="28" t="s">
        <v>22</v>
      </c>
      <c r="Y60" s="8" t="s">
        <v>19</v>
      </c>
      <c r="Z60" s="9"/>
      <c r="AA60" s="9">
        <f t="shared" si="5"/>
        <v>0</v>
      </c>
      <c r="AB60" s="3" t="s">
        <v>37</v>
      </c>
      <c r="AC60" s="3">
        <v>44</v>
      </c>
      <c r="AD60" s="3" t="s">
        <v>40</v>
      </c>
    </row>
    <row r="61" spans="16:30" ht="15" thickBot="1" x14ac:dyDescent="0.4">
      <c r="P61" s="29"/>
      <c r="Q61" s="4" t="s">
        <v>20</v>
      </c>
      <c r="R61" s="5"/>
      <c r="S61" s="5">
        <f t="shared" si="3"/>
        <v>0</v>
      </c>
      <c r="T61" s="13" t="s">
        <v>37</v>
      </c>
      <c r="U61" s="3">
        <v>45.6</v>
      </c>
      <c r="V61" s="3" t="s">
        <v>41</v>
      </c>
      <c r="X61" s="29"/>
      <c r="Y61" s="4" t="s">
        <v>20</v>
      </c>
      <c r="Z61" s="5"/>
      <c r="AA61" s="5">
        <f t="shared" si="5"/>
        <v>0</v>
      </c>
      <c r="AB61" s="13" t="s">
        <v>37</v>
      </c>
      <c r="AC61" s="3">
        <v>34.5</v>
      </c>
      <c r="AD61" s="3" t="s">
        <v>41</v>
      </c>
    </row>
    <row r="62" spans="16:30" ht="15" customHeight="1" thickBot="1" x14ac:dyDescent="0.4">
      <c r="P62" s="24" t="s">
        <v>35</v>
      </c>
      <c r="Q62" s="8" t="s">
        <v>19</v>
      </c>
      <c r="R62" s="10"/>
      <c r="S62" s="9">
        <f t="shared" si="3"/>
        <v>0</v>
      </c>
      <c r="T62" s="3" t="s">
        <v>37</v>
      </c>
      <c r="U62" s="3">
        <v>108.8</v>
      </c>
      <c r="V62" s="3" t="s">
        <v>40</v>
      </c>
      <c r="X62" s="24" t="s">
        <v>35</v>
      </c>
      <c r="Y62" s="8" t="s">
        <v>19</v>
      </c>
      <c r="Z62" s="9"/>
      <c r="AA62" s="9">
        <f t="shared" si="5"/>
        <v>0</v>
      </c>
      <c r="AB62" s="3" t="s">
        <v>37</v>
      </c>
      <c r="AC62" s="3">
        <v>22.3</v>
      </c>
      <c r="AD62" s="3" t="s">
        <v>41</v>
      </c>
    </row>
    <row r="63" spans="16:30" ht="15" thickBot="1" x14ac:dyDescent="0.4">
      <c r="P63" s="25"/>
      <c r="Q63" s="4" t="s">
        <v>20</v>
      </c>
      <c r="R63" s="11"/>
      <c r="S63" s="5">
        <f t="shared" si="3"/>
        <v>0</v>
      </c>
      <c r="T63" s="13" t="s">
        <v>37</v>
      </c>
      <c r="U63" s="3">
        <v>119.1</v>
      </c>
      <c r="V63" s="3" t="s">
        <v>40</v>
      </c>
      <c r="X63" s="25"/>
      <c r="Y63" s="4" t="s">
        <v>20</v>
      </c>
      <c r="Z63" s="5"/>
      <c r="AA63" s="5">
        <f t="shared" si="5"/>
        <v>0</v>
      </c>
      <c r="AB63" s="13" t="s">
        <v>37</v>
      </c>
      <c r="AC63" s="3">
        <v>25.1</v>
      </c>
      <c r="AD63" s="3" t="s">
        <v>41</v>
      </c>
    </row>
    <row r="64" spans="16:30" ht="15" customHeight="1" thickBot="1" x14ac:dyDescent="0.4">
      <c r="P64" s="26" t="s">
        <v>23</v>
      </c>
      <c r="Q64" s="27"/>
      <c r="R64" s="7"/>
      <c r="S64" s="7">
        <f>R64*(36/36)</f>
        <v>0</v>
      </c>
      <c r="T64" s="3" t="s">
        <v>37</v>
      </c>
      <c r="U64" s="3"/>
      <c r="V64" s="3"/>
      <c r="X64" s="26" t="s">
        <v>23</v>
      </c>
      <c r="Y64" s="27"/>
      <c r="Z64" s="7"/>
      <c r="AA64" s="7">
        <f>Z64*(36/36)</f>
        <v>0</v>
      </c>
      <c r="AB64" s="3" t="s">
        <v>37</v>
      </c>
      <c r="AC64" s="3"/>
      <c r="AD64" s="3"/>
    </row>
  </sheetData>
  <mergeCells count="100">
    <mergeCell ref="P62:P63"/>
    <mergeCell ref="X62:X63"/>
    <mergeCell ref="P64:Q64"/>
    <mergeCell ref="X64:Y64"/>
    <mergeCell ref="P57:Q57"/>
    <mergeCell ref="X57:Y57"/>
    <mergeCell ref="P58:P59"/>
    <mergeCell ref="X58:X59"/>
    <mergeCell ref="P60:P61"/>
    <mergeCell ref="X60:X61"/>
    <mergeCell ref="P51:P52"/>
    <mergeCell ref="X51:X52"/>
    <mergeCell ref="P53:P54"/>
    <mergeCell ref="X53:X54"/>
    <mergeCell ref="P55:P56"/>
    <mergeCell ref="X55:X56"/>
    <mergeCell ref="P48:Q48"/>
    <mergeCell ref="X48:Y48"/>
    <mergeCell ref="P49:Q49"/>
    <mergeCell ref="X49:Y49"/>
    <mergeCell ref="P50:Q50"/>
    <mergeCell ref="X50:Y50"/>
    <mergeCell ref="P45:Q45"/>
    <mergeCell ref="X45:Y45"/>
    <mergeCell ref="P46:Q46"/>
    <mergeCell ref="X46:Y46"/>
    <mergeCell ref="P47:Q47"/>
    <mergeCell ref="X47:Y47"/>
    <mergeCell ref="P42:Q42"/>
    <mergeCell ref="X42:Y42"/>
    <mergeCell ref="P43:Q43"/>
    <mergeCell ref="X43:Y43"/>
    <mergeCell ref="P44:Q44"/>
    <mergeCell ref="X44:Y44"/>
    <mergeCell ref="P39:Q39"/>
    <mergeCell ref="X39:Y39"/>
    <mergeCell ref="P40:Q40"/>
    <mergeCell ref="X40:Y40"/>
    <mergeCell ref="P41:Q41"/>
    <mergeCell ref="X41:Y41"/>
    <mergeCell ref="P36:Q36"/>
    <mergeCell ref="X36:Y36"/>
    <mergeCell ref="P37:Q37"/>
    <mergeCell ref="X37:Y37"/>
    <mergeCell ref="P38:Q38"/>
    <mergeCell ref="X38:Y38"/>
    <mergeCell ref="P31:Q31"/>
    <mergeCell ref="X31:Y31"/>
    <mergeCell ref="P34:Q34"/>
    <mergeCell ref="X34:Y34"/>
    <mergeCell ref="P35:Q35"/>
    <mergeCell ref="X35:Y35"/>
    <mergeCell ref="P25:P26"/>
    <mergeCell ref="X25:X26"/>
    <mergeCell ref="P27:P28"/>
    <mergeCell ref="X27:X28"/>
    <mergeCell ref="P29:P30"/>
    <mergeCell ref="X29:X30"/>
    <mergeCell ref="P20:P21"/>
    <mergeCell ref="X20:X21"/>
    <mergeCell ref="P22:P23"/>
    <mergeCell ref="X22:X23"/>
    <mergeCell ref="P24:Q24"/>
    <mergeCell ref="X24:Y24"/>
    <mergeCell ref="P16:Q16"/>
    <mergeCell ref="X16:Y16"/>
    <mergeCell ref="P17:Q17"/>
    <mergeCell ref="X17:Y17"/>
    <mergeCell ref="P18:P19"/>
    <mergeCell ref="X18:X19"/>
    <mergeCell ref="P13:Q13"/>
    <mergeCell ref="X13:Y13"/>
    <mergeCell ref="P14:Q14"/>
    <mergeCell ref="X14:Y14"/>
    <mergeCell ref="P15:Q15"/>
    <mergeCell ref="X15:Y15"/>
    <mergeCell ref="P10:Q10"/>
    <mergeCell ref="X10:Y10"/>
    <mergeCell ref="P11:Q11"/>
    <mergeCell ref="X11:Y11"/>
    <mergeCell ref="P12:Q12"/>
    <mergeCell ref="X12:Y12"/>
    <mergeCell ref="P7:Q7"/>
    <mergeCell ref="X7:Y7"/>
    <mergeCell ref="P8:Q8"/>
    <mergeCell ref="X8:Y8"/>
    <mergeCell ref="P9:Q9"/>
    <mergeCell ref="X9:Y9"/>
    <mergeCell ref="P4:Q4"/>
    <mergeCell ref="X4:Y4"/>
    <mergeCell ref="P5:Q5"/>
    <mergeCell ref="X5:Y5"/>
    <mergeCell ref="P6:Q6"/>
    <mergeCell ref="X6:Y6"/>
    <mergeCell ref="P1:Q1"/>
    <mergeCell ref="X1:Y1"/>
    <mergeCell ref="P2:Q2"/>
    <mergeCell ref="X2:Y2"/>
    <mergeCell ref="P3:Q3"/>
    <mergeCell ref="X3:Y3"/>
  </mergeCells>
  <phoneticPr fontId="9" type="noConversion"/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A588-B3BC-463C-9CE9-B1407B7A1A14}">
  <sheetPr>
    <tabColor theme="8" tint="0.79998168889431442"/>
  </sheetPr>
  <dimension ref="O1:AL76"/>
  <sheetViews>
    <sheetView workbookViewId="0">
      <selection sqref="A1:N104857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5" max="15" width="7.81640625" bestFit="1" customWidth="1"/>
    <col min="16" max="16" width="27.81640625" customWidth="1"/>
    <col min="17" max="17" width="17.7265625" customWidth="1"/>
    <col min="18" max="18" width="11.54296875" bestFit="1" customWidth="1"/>
    <col min="24" max="24" width="26.1796875" customWidth="1"/>
    <col min="25" max="25" width="19.1796875" customWidth="1"/>
    <col min="26" max="26" width="11.54296875" bestFit="1" customWidth="1"/>
    <col min="32" max="32" width="26.1796875" customWidth="1"/>
    <col min="33" max="33" width="17.542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26</v>
      </c>
      <c r="S1" s="1"/>
      <c r="T1" s="1"/>
      <c r="U1" s="1"/>
      <c r="V1" s="1"/>
      <c r="X1" s="34" t="s">
        <v>0</v>
      </c>
      <c r="Y1" s="35"/>
      <c r="Z1" s="1" t="s">
        <v>26</v>
      </c>
      <c r="AA1" s="1"/>
      <c r="AB1" s="1"/>
      <c r="AC1" s="1"/>
      <c r="AD1" s="1"/>
      <c r="AF1" s="34" t="s">
        <v>0</v>
      </c>
      <c r="AG1" s="35"/>
      <c r="AH1" s="1" t="s">
        <v>26</v>
      </c>
      <c r="AI1" s="1"/>
      <c r="AJ1" s="1"/>
      <c r="AK1" s="1"/>
      <c r="AL1" s="1"/>
    </row>
    <row r="2" spans="15:38" ht="15" customHeight="1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customHeight="1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customHeight="1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customHeight="1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customHeight="1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customHeight="1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customHeight="1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customHeight="1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customHeight="1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customHeight="1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customHeight="1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customHeight="1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customHeight="1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customHeight="1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customHeight="1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customHeight="1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thickBot="1" x14ac:dyDescent="0.4">
      <c r="P18" s="28" t="s">
        <v>31</v>
      </c>
      <c r="Q18" s="8" t="s">
        <v>46</v>
      </c>
      <c r="R18" s="21">
        <v>216.2</v>
      </c>
      <c r="S18" s="21">
        <f>R18*(33/30)</f>
        <v>237.82</v>
      </c>
      <c r="T18" s="5" t="s">
        <v>37</v>
      </c>
      <c r="U18" s="5" t="s">
        <v>43</v>
      </c>
      <c r="V18" s="5"/>
      <c r="X18" s="28" t="s">
        <v>31</v>
      </c>
      <c r="Y18" s="8" t="s">
        <v>19</v>
      </c>
      <c r="Z18" s="15">
        <v>81.690166000000005</v>
      </c>
      <c r="AA18" s="15">
        <f>Z18*(33/30)</f>
        <v>89.859182600000011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21">
        <v>67.099999999999994</v>
      </c>
      <c r="AI18" s="21">
        <f>AH18*(33/30)</f>
        <v>73.81</v>
      </c>
      <c r="AJ18" s="5" t="s">
        <v>37</v>
      </c>
      <c r="AK18" s="5" t="s">
        <v>43</v>
      </c>
      <c r="AL18" s="5"/>
    </row>
    <row r="19" spans="16:38" ht="15" thickBot="1" x14ac:dyDescent="0.4">
      <c r="P19" s="37"/>
      <c r="Q19" s="8" t="s">
        <v>47</v>
      </c>
      <c r="R19" s="15">
        <v>257.43662</v>
      </c>
      <c r="S19" s="15">
        <f>R19*(33/30)</f>
        <v>283.18028200000003</v>
      </c>
      <c r="T19" s="5"/>
      <c r="U19" s="5"/>
      <c r="V19" s="5"/>
      <c r="X19" s="37"/>
      <c r="Y19" s="8" t="s">
        <v>47</v>
      </c>
      <c r="Z19" s="15">
        <v>80.486699999999999</v>
      </c>
      <c r="AA19" s="15">
        <f>Z19*(33/30)</f>
        <v>88.53537</v>
      </c>
      <c r="AB19" s="5"/>
      <c r="AC19" s="5"/>
      <c r="AD19" s="5"/>
      <c r="AF19" s="37"/>
      <c r="AG19" s="8" t="s">
        <v>47</v>
      </c>
      <c r="AH19" s="15">
        <v>52.065058499999999</v>
      </c>
      <c r="AI19" s="15">
        <f>AH19*(33/30)</f>
        <v>57.271564350000006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257.759388</v>
      </c>
      <c r="S20" s="16">
        <f>R20*(33/30)</f>
        <v>283.53532680000001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80.939694000000003</v>
      </c>
      <c r="AA20" s="16">
        <f>Z20*(33/30)</f>
        <v>89.033663400000009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52.011187499999998</v>
      </c>
      <c r="AI20" s="16">
        <f>AH20*(33/30)</f>
        <v>57.212306250000005</v>
      </c>
      <c r="AJ20" s="12" t="s">
        <v>37</v>
      </c>
      <c r="AK20" s="5" t="s">
        <v>43</v>
      </c>
      <c r="AL20" s="5"/>
    </row>
    <row r="21" spans="16:38" ht="15" thickBot="1" x14ac:dyDescent="0.4">
      <c r="P21" s="24" t="s">
        <v>32</v>
      </c>
      <c r="Q21" s="8" t="s">
        <v>46</v>
      </c>
      <c r="R21" s="21">
        <v>59.9</v>
      </c>
      <c r="S21" s="21">
        <f t="shared" ref="S21:S36" si="0">R21*(33/30)</f>
        <v>65.89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46.638424000000001</v>
      </c>
      <c r="AA21" s="15">
        <f t="shared" ref="AA21:AA26" si="1">Z21*(33/30)</f>
        <v>51.302266400000008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21">
        <v>25.641148000000001</v>
      </c>
      <c r="AI21" s="21">
        <f t="shared" ref="AI21:AI26" si="2">AH21*(33/30)</f>
        <v>28.205262800000003</v>
      </c>
      <c r="AJ21" s="5" t="s">
        <v>37</v>
      </c>
      <c r="AK21" s="5" t="s">
        <v>43</v>
      </c>
      <c r="AL21" s="5"/>
    </row>
    <row r="22" spans="16:38" ht="15" thickBot="1" x14ac:dyDescent="0.4">
      <c r="P22" s="36"/>
      <c r="Q22" s="8" t="s">
        <v>47</v>
      </c>
      <c r="R22" s="15">
        <v>70.898492000000005</v>
      </c>
      <c r="S22" s="15">
        <f>R22*(33/30)</f>
        <v>77.988341200000008</v>
      </c>
      <c r="T22" s="5"/>
      <c r="U22" s="5"/>
      <c r="V22" s="5"/>
      <c r="X22" s="36"/>
      <c r="Y22" s="8" t="s">
        <v>47</v>
      </c>
      <c r="Z22" s="15">
        <v>34.015403999999997</v>
      </c>
      <c r="AA22" s="15">
        <f>Z22*(33/30)</f>
        <v>37.416944399999998</v>
      </c>
      <c r="AB22" s="5"/>
      <c r="AC22" s="5"/>
      <c r="AD22" s="5"/>
      <c r="AF22" s="36"/>
      <c r="AG22" s="8" t="s">
        <v>47</v>
      </c>
      <c r="AH22" s="15">
        <v>19.599053000000001</v>
      </c>
      <c r="AI22" s="15">
        <f>AH22*(33/30)</f>
        <v>21.558958300000004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71.097768000000002</v>
      </c>
      <c r="S23" s="16">
        <f t="shared" si="0"/>
        <v>78.207544800000008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36.353670000000001</v>
      </c>
      <c r="AA23" s="16">
        <f t="shared" si="1"/>
        <v>39.989037000000003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22.550618</v>
      </c>
      <c r="AI23" s="16">
        <f t="shared" si="2"/>
        <v>24.805679800000004</v>
      </c>
      <c r="AJ23" s="12" t="s">
        <v>37</v>
      </c>
      <c r="AK23" s="5" t="s">
        <v>43</v>
      </c>
      <c r="AL23" s="5"/>
    </row>
    <row r="24" spans="16:38" ht="15" thickBot="1" x14ac:dyDescent="0.4">
      <c r="P24" s="24" t="s">
        <v>33</v>
      </c>
      <c r="Q24" s="8" t="s">
        <v>46</v>
      </c>
      <c r="R24" s="21">
        <v>228.3</v>
      </c>
      <c r="S24" s="21">
        <f t="shared" si="0"/>
        <v>251.13000000000002</v>
      </c>
      <c r="T24" s="5" t="s">
        <v>37</v>
      </c>
      <c r="U24" s="5" t="s">
        <v>43</v>
      </c>
      <c r="V24" s="5"/>
      <c r="X24" s="24" t="s">
        <v>33</v>
      </c>
      <c r="Y24" s="8" t="s">
        <v>46</v>
      </c>
      <c r="Z24" s="15">
        <v>50.283734000000003</v>
      </c>
      <c r="AA24" s="15">
        <f t="shared" si="1"/>
        <v>55.312107400000009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21">
        <v>34.799298999999998</v>
      </c>
      <c r="AI24" s="21">
        <f t="shared" si="2"/>
        <v>38.2792289</v>
      </c>
      <c r="AJ24" s="5" t="s">
        <v>37</v>
      </c>
      <c r="AK24" s="5" t="s">
        <v>43</v>
      </c>
      <c r="AL24" s="5"/>
    </row>
    <row r="25" spans="16:38" ht="15" thickBot="1" x14ac:dyDescent="0.4">
      <c r="P25" s="36"/>
      <c r="Q25" s="8" t="s">
        <v>47</v>
      </c>
      <c r="R25" s="15">
        <v>184.48921200000001</v>
      </c>
      <c r="S25" s="15">
        <f>R25*(33/30)</f>
        <v>202.93813320000004</v>
      </c>
      <c r="T25" s="5"/>
      <c r="U25" s="5"/>
      <c r="V25" s="5"/>
      <c r="X25" s="36"/>
      <c r="Y25" s="8" t="s">
        <v>47</v>
      </c>
      <c r="Z25" s="15">
        <v>50.820504</v>
      </c>
      <c r="AA25" s="15">
        <f>Z25*(33/30)</f>
        <v>55.902554400000007</v>
      </c>
      <c r="AB25" s="5"/>
      <c r="AC25" s="5"/>
      <c r="AD25" s="5"/>
      <c r="AF25" s="36"/>
      <c r="AG25" s="8" t="s">
        <v>47</v>
      </c>
      <c r="AH25" s="15">
        <v>29.879916000000001</v>
      </c>
      <c r="AI25" s="15">
        <f>AH25*(33/30)</f>
        <v>32.867907600000002</v>
      </c>
      <c r="AJ25" s="5" t="s">
        <v>37</v>
      </c>
      <c r="AK25" s="5"/>
      <c r="AL25" s="5"/>
    </row>
    <row r="26" spans="16:38" ht="15" thickBot="1" x14ac:dyDescent="0.4">
      <c r="P26" s="25"/>
      <c r="Q26" s="4" t="s">
        <v>20</v>
      </c>
      <c r="R26" s="16">
        <v>184.474186</v>
      </c>
      <c r="S26" s="16">
        <f t="shared" si="0"/>
        <v>202.92160460000002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52.672068000000003</v>
      </c>
      <c r="AA26" s="16">
        <f t="shared" si="1"/>
        <v>57.939274800000007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31.6928795</v>
      </c>
      <c r="AI26" s="16">
        <f t="shared" si="2"/>
        <v>34.862167450000001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22">
        <v>257.69429100000002</v>
      </c>
      <c r="S27" s="22">
        <f>R27*(33/33)</f>
        <v>257.69429100000002</v>
      </c>
      <c r="T27" s="5" t="s">
        <v>37</v>
      </c>
      <c r="U27" s="5" t="s">
        <v>43</v>
      </c>
      <c r="V27" s="5"/>
      <c r="X27" s="26" t="s">
        <v>34</v>
      </c>
      <c r="Y27" s="27"/>
      <c r="Z27" s="22">
        <v>163.51737739999999</v>
      </c>
      <c r="AA27" s="22">
        <f>Z27*(33/33)</f>
        <v>163.51737739999999</v>
      </c>
      <c r="AB27" s="5" t="s">
        <v>37</v>
      </c>
      <c r="AC27" s="5" t="s">
        <v>43</v>
      </c>
      <c r="AD27" s="5"/>
      <c r="AF27" s="26" t="s">
        <v>34</v>
      </c>
      <c r="AG27" s="27"/>
      <c r="AH27" s="22">
        <v>142.30000000000001</v>
      </c>
      <c r="AI27" s="22">
        <f>AH27</f>
        <v>142.30000000000001</v>
      </c>
      <c r="AJ27" s="5" t="s">
        <v>37</v>
      </c>
      <c r="AK27" s="5" t="s">
        <v>43</v>
      </c>
      <c r="AL27" s="5"/>
    </row>
    <row r="28" spans="16:38" ht="15" thickBot="1" x14ac:dyDescent="0.4">
      <c r="P28" s="28" t="s">
        <v>21</v>
      </c>
      <c r="Q28" s="8" t="s">
        <v>46</v>
      </c>
      <c r="R28" s="21">
        <v>245.4</v>
      </c>
      <c r="S28" s="21">
        <f t="shared" si="0"/>
        <v>269.94000000000005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86.452020000000005</v>
      </c>
      <c r="AA28" s="15">
        <f t="shared" ref="AA28:AA36" si="3">Z28*(33/30)</f>
        <v>95.097222000000016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21">
        <v>67.8</v>
      </c>
      <c r="AI28" s="21">
        <f t="shared" ref="AI28:AI36" si="4">AH28*(33/30)</f>
        <v>74.58</v>
      </c>
      <c r="AJ28" s="5" t="s">
        <v>37</v>
      </c>
      <c r="AK28" s="5" t="s">
        <v>43</v>
      </c>
      <c r="AL28" s="5"/>
    </row>
    <row r="29" spans="16:38" ht="15" thickBot="1" x14ac:dyDescent="0.4">
      <c r="P29" s="37"/>
      <c r="Q29" s="8" t="s">
        <v>47</v>
      </c>
      <c r="R29" s="15">
        <v>289.98902399999997</v>
      </c>
      <c r="S29" s="15">
        <f>R29*(33/30)</f>
        <v>318.98792639999999</v>
      </c>
      <c r="T29" s="5"/>
      <c r="U29" s="5"/>
      <c r="V29" s="5"/>
      <c r="X29" s="37"/>
      <c r="Y29" s="8" t="s">
        <v>47</v>
      </c>
      <c r="Z29" s="15">
        <v>85.794077999999999</v>
      </c>
      <c r="AA29" s="15">
        <f>Z29*(33/30)</f>
        <v>94.373485800000012</v>
      </c>
      <c r="AB29" s="5"/>
      <c r="AC29" s="5"/>
      <c r="AD29" s="5"/>
      <c r="AF29" s="37"/>
      <c r="AG29" s="8" t="s">
        <v>47</v>
      </c>
      <c r="AH29" s="15">
        <v>52.198680500000002</v>
      </c>
      <c r="AI29" s="15">
        <f>AH29*(33/30)</f>
        <v>57.418548550000004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290.70481999999998</v>
      </c>
      <c r="S30" s="16">
        <f t="shared" si="0"/>
        <v>319.77530200000001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86.289618000000004</v>
      </c>
      <c r="AA30" s="16">
        <f t="shared" si="3"/>
        <v>94.918579800000018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52.147449999999999</v>
      </c>
      <c r="AI30" s="16">
        <f t="shared" si="4"/>
        <v>57.362195000000007</v>
      </c>
      <c r="AJ30" s="12" t="s">
        <v>37</v>
      </c>
      <c r="AK30" s="5" t="s">
        <v>43</v>
      </c>
      <c r="AL30" s="5"/>
    </row>
    <row r="31" spans="16:38" ht="15" thickBot="1" x14ac:dyDescent="0.4">
      <c r="P31" s="28" t="s">
        <v>22</v>
      </c>
      <c r="Q31" s="8" t="s">
        <v>46</v>
      </c>
      <c r="R31" s="21">
        <v>66.900000000000006</v>
      </c>
      <c r="S31" s="21">
        <f t="shared" si="0"/>
        <v>73.590000000000018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43.454135999999998</v>
      </c>
      <c r="AA31" s="15">
        <f t="shared" si="3"/>
        <v>47.799549599999999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21">
        <v>26.026289999999999</v>
      </c>
      <c r="AI31" s="21">
        <f t="shared" si="4"/>
        <v>28.628919000000003</v>
      </c>
      <c r="AJ31" s="5" t="s">
        <v>37</v>
      </c>
      <c r="AK31" s="5" t="s">
        <v>43</v>
      </c>
      <c r="AL31" s="5"/>
    </row>
    <row r="32" spans="16:38" ht="15" thickBot="1" x14ac:dyDescent="0.4">
      <c r="P32" s="37"/>
      <c r="Q32" s="8" t="s">
        <v>47</v>
      </c>
      <c r="R32" s="15">
        <v>79.988408000000007</v>
      </c>
      <c r="S32" s="15">
        <f>R32*(33/30)</f>
        <v>87.987248800000017</v>
      </c>
      <c r="T32" s="5"/>
      <c r="U32" s="5"/>
      <c r="V32" s="5"/>
      <c r="X32" s="37"/>
      <c r="Y32" s="8" t="s">
        <v>47</v>
      </c>
      <c r="Z32" s="15">
        <v>36.454376000000003</v>
      </c>
      <c r="AA32" s="15">
        <f>Z32*(33/30)</f>
        <v>40.099813600000004</v>
      </c>
      <c r="AB32" s="5"/>
      <c r="AC32" s="5"/>
      <c r="AD32" s="5"/>
      <c r="AF32" s="37"/>
      <c r="AG32" s="8" t="s">
        <v>47</v>
      </c>
      <c r="AH32" s="15">
        <v>19.991137999999999</v>
      </c>
      <c r="AI32" s="15">
        <f>AH32*(33/30)</f>
        <v>21.990251800000003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80.254896000000002</v>
      </c>
      <c r="S33" s="16">
        <f t="shared" si="0"/>
        <v>88.280385600000017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40.341031999999998</v>
      </c>
      <c r="AA33" s="16">
        <f t="shared" si="3"/>
        <v>44.375135200000003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23.142534000000001</v>
      </c>
      <c r="AI33" s="16">
        <f t="shared" si="4"/>
        <v>25.456787400000003</v>
      </c>
      <c r="AJ33" s="12" t="s">
        <v>37</v>
      </c>
      <c r="AK33" s="5" t="s">
        <v>43</v>
      </c>
      <c r="AL33" s="5"/>
    </row>
    <row r="34" spans="15:38" ht="15" thickBot="1" x14ac:dyDescent="0.4">
      <c r="P34" s="24" t="s">
        <v>35</v>
      </c>
      <c r="Q34" s="8" t="s">
        <v>46</v>
      </c>
      <c r="R34" s="21">
        <v>254.8</v>
      </c>
      <c r="S34" s="21">
        <f t="shared" si="0"/>
        <v>280.28000000000003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59.24906</v>
      </c>
      <c r="AA34" s="15">
        <f t="shared" si="3"/>
        <v>65.173966000000007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21">
        <v>34.769156000000002</v>
      </c>
      <c r="AI34" s="21">
        <f t="shared" si="4"/>
        <v>38.246071600000008</v>
      </c>
      <c r="AJ34" s="5" t="s">
        <v>37</v>
      </c>
      <c r="AK34" s="5" t="s">
        <v>43</v>
      </c>
      <c r="AL34" s="5"/>
    </row>
    <row r="35" spans="15:38" ht="15" thickBot="1" x14ac:dyDescent="0.4">
      <c r="P35" s="36"/>
      <c r="Q35" s="8" t="s">
        <v>47</v>
      </c>
      <c r="R35" s="15">
        <v>205.848252</v>
      </c>
      <c r="S35" s="15">
        <f>R35*(33/30)</f>
        <v>226.43307720000001</v>
      </c>
      <c r="T35" s="5"/>
      <c r="U35" s="5"/>
      <c r="V35" s="5"/>
      <c r="X35" s="36"/>
      <c r="Y35" s="8" t="s">
        <v>47</v>
      </c>
      <c r="Z35" s="15">
        <v>55.394804000000001</v>
      </c>
      <c r="AA35" s="15">
        <f>Z35*(33/30)</f>
        <v>60.934284400000003</v>
      </c>
      <c r="AB35" s="5"/>
      <c r="AC35" s="5"/>
      <c r="AD35" s="5"/>
      <c r="AF35" s="36"/>
      <c r="AG35" s="8" t="s">
        <v>47</v>
      </c>
      <c r="AH35" s="15">
        <v>30.125787500000001</v>
      </c>
      <c r="AI35" s="15">
        <f>AH35*(33/30)</f>
        <v>33.138366250000004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205.86737199999999</v>
      </c>
      <c r="S36" s="16">
        <f t="shared" si="0"/>
        <v>226.4541092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57.289580000000001</v>
      </c>
      <c r="AA36" s="16">
        <f t="shared" si="3"/>
        <v>63.018538000000007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31.9484095</v>
      </c>
      <c r="AI36" s="16">
        <f t="shared" si="4"/>
        <v>35.143250450000004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22">
        <v>277.22238399999998</v>
      </c>
      <c r="S37" s="22">
        <f>R37*(33/33)</f>
        <v>277.22238399999998</v>
      </c>
      <c r="T37" s="5" t="s">
        <v>37</v>
      </c>
      <c r="U37" s="5" t="s">
        <v>43</v>
      </c>
      <c r="V37" s="5"/>
      <c r="X37" s="26" t="s">
        <v>23</v>
      </c>
      <c r="Y37" s="27"/>
      <c r="Z37" s="22">
        <v>172.1276</v>
      </c>
      <c r="AA37" s="22">
        <f>Z37*(33/33)</f>
        <v>172.1276</v>
      </c>
      <c r="AB37" s="5" t="s">
        <v>37</v>
      </c>
      <c r="AC37" s="5" t="s">
        <v>43</v>
      </c>
      <c r="AD37" s="5"/>
      <c r="AF37" s="26" t="s">
        <v>23</v>
      </c>
      <c r="AG37" s="27"/>
      <c r="AH37" s="22">
        <v>146.1</v>
      </c>
      <c r="AI37" s="22">
        <f>AH37*(33/33)</f>
        <v>146.1</v>
      </c>
      <c r="AJ37" s="5" t="s">
        <v>37</v>
      </c>
      <c r="AK37" s="5" t="s">
        <v>43</v>
      </c>
      <c r="AL37" s="5"/>
    </row>
    <row r="38" spans="15:38" x14ac:dyDescent="0.35">
      <c r="R38" s="6"/>
      <c r="S38" s="6"/>
      <c r="Z38" s="6"/>
      <c r="AA38" s="6"/>
      <c r="AH38" s="6"/>
      <c r="AI38" s="6"/>
    </row>
    <row r="39" spans="15:38" ht="15" thickBot="1" x14ac:dyDescent="0.4">
      <c r="R39" s="6"/>
      <c r="S39" s="6"/>
      <c r="Z39" s="6"/>
      <c r="AA39" s="6"/>
      <c r="AH39" s="6"/>
      <c r="AI39" s="6"/>
    </row>
    <row r="40" spans="15:38" ht="23.5" thickBot="1" x14ac:dyDescent="0.4">
      <c r="P40" s="34" t="s">
        <v>0</v>
      </c>
      <c r="Q40" s="35"/>
      <c r="R40" s="18" t="s">
        <v>26</v>
      </c>
      <c r="S40" s="18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8" t="s">
        <v>26</v>
      </c>
      <c r="AA40" s="18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8" t="s">
        <v>26</v>
      </c>
      <c r="AI40" s="18"/>
      <c r="AJ40" s="1" t="s">
        <v>25</v>
      </c>
      <c r="AK40" s="1" t="s">
        <v>26</v>
      </c>
      <c r="AL40" s="1" t="s">
        <v>27</v>
      </c>
    </row>
    <row r="41" spans="15:38" ht="15" customHeight="1" thickBot="1" x14ac:dyDescent="0.4">
      <c r="O41" s="2" t="s">
        <v>28</v>
      </c>
      <c r="P41" s="32" t="s">
        <v>3</v>
      </c>
      <c r="Q41" s="33"/>
      <c r="R41" s="19"/>
      <c r="S41" s="19"/>
      <c r="T41" s="3"/>
      <c r="U41" s="3"/>
      <c r="V41" s="3"/>
      <c r="W41" s="2" t="s">
        <v>28</v>
      </c>
      <c r="X41" s="32" t="s">
        <v>3</v>
      </c>
      <c r="Y41" s="33"/>
      <c r="Z41" s="19"/>
      <c r="AA41" s="19"/>
      <c r="AB41" s="3"/>
      <c r="AC41" s="3"/>
      <c r="AD41" s="3"/>
      <c r="AE41" s="2" t="s">
        <v>28</v>
      </c>
      <c r="AF41" s="32" t="s">
        <v>3</v>
      </c>
      <c r="AG41" s="33"/>
      <c r="AH41" s="19"/>
      <c r="AI41" s="19"/>
      <c r="AJ41" s="3"/>
      <c r="AK41" s="3"/>
      <c r="AL41" s="3"/>
    </row>
    <row r="42" spans="15:38" ht="15" customHeight="1" thickBot="1" x14ac:dyDescent="0.4">
      <c r="O42" s="6" t="s">
        <v>44</v>
      </c>
      <c r="P42" s="30" t="s">
        <v>4</v>
      </c>
      <c r="Q42" s="31"/>
      <c r="R42" s="19"/>
      <c r="S42" s="19"/>
      <c r="T42" s="3"/>
      <c r="U42" s="3"/>
      <c r="V42" s="3"/>
      <c r="W42" s="6" t="s">
        <v>30</v>
      </c>
      <c r="X42" s="30" t="s">
        <v>4</v>
      </c>
      <c r="Y42" s="31"/>
      <c r="Z42" s="19"/>
      <c r="AA42" s="19"/>
      <c r="AB42" s="3"/>
      <c r="AC42" s="3"/>
      <c r="AD42" s="3"/>
      <c r="AE42" s="6" t="s">
        <v>45</v>
      </c>
      <c r="AF42" s="30" t="s">
        <v>4</v>
      </c>
      <c r="AG42" s="31"/>
      <c r="AH42" s="19"/>
      <c r="AI42" s="19"/>
      <c r="AJ42" s="3"/>
      <c r="AK42" s="3"/>
      <c r="AL42" s="3"/>
    </row>
    <row r="43" spans="15:38" ht="15" customHeight="1" thickBot="1" x14ac:dyDescent="0.4">
      <c r="P43" s="32" t="s">
        <v>5</v>
      </c>
      <c r="Q43" s="33"/>
      <c r="R43" s="19"/>
      <c r="S43" s="19"/>
      <c r="T43" s="3"/>
      <c r="U43" s="3"/>
      <c r="V43" s="3"/>
      <c r="X43" s="32" t="s">
        <v>5</v>
      </c>
      <c r="Y43" s="33"/>
      <c r="Z43" s="19"/>
      <c r="AA43" s="19"/>
      <c r="AB43" s="3"/>
      <c r="AC43" s="3"/>
      <c r="AD43" s="3"/>
      <c r="AF43" s="32" t="s">
        <v>5</v>
      </c>
      <c r="AG43" s="33"/>
      <c r="AH43" s="19"/>
      <c r="AI43" s="19"/>
      <c r="AJ43" s="3"/>
      <c r="AK43" s="3"/>
      <c r="AL43" s="3"/>
    </row>
    <row r="44" spans="15:38" ht="15" customHeight="1" thickBot="1" x14ac:dyDescent="0.4">
      <c r="P44" s="30" t="s">
        <v>6</v>
      </c>
      <c r="Q44" s="31"/>
      <c r="R44" s="19"/>
      <c r="S44" s="19"/>
      <c r="T44" s="3"/>
      <c r="U44" s="3"/>
      <c r="V44" s="3"/>
      <c r="X44" s="30" t="s">
        <v>6</v>
      </c>
      <c r="Y44" s="31"/>
      <c r="Z44" s="19"/>
      <c r="AA44" s="19"/>
      <c r="AB44" s="3"/>
      <c r="AC44" s="3"/>
      <c r="AD44" s="3"/>
      <c r="AF44" s="30" t="s">
        <v>6</v>
      </c>
      <c r="AG44" s="31"/>
      <c r="AH44" s="19"/>
      <c r="AI44" s="19"/>
      <c r="AJ44" s="3"/>
      <c r="AK44" s="3"/>
      <c r="AL44" s="3"/>
    </row>
    <row r="45" spans="15:38" ht="15" customHeight="1" thickBot="1" x14ac:dyDescent="0.4">
      <c r="P45" s="32" t="s">
        <v>7</v>
      </c>
      <c r="Q45" s="33"/>
      <c r="R45" s="19"/>
      <c r="S45" s="19"/>
      <c r="T45" s="3"/>
      <c r="U45" s="3"/>
      <c r="V45" s="3"/>
      <c r="X45" s="32" t="s">
        <v>7</v>
      </c>
      <c r="Y45" s="33"/>
      <c r="Z45" s="19"/>
      <c r="AA45" s="19"/>
      <c r="AB45" s="3"/>
      <c r="AC45" s="3"/>
      <c r="AD45" s="3"/>
      <c r="AF45" s="32" t="s">
        <v>7</v>
      </c>
      <c r="AG45" s="33"/>
      <c r="AH45" s="19"/>
      <c r="AI45" s="19"/>
      <c r="AJ45" s="3"/>
      <c r="AK45" s="3"/>
      <c r="AL45" s="3"/>
    </row>
    <row r="46" spans="15:38" ht="15" customHeight="1" thickBot="1" x14ac:dyDescent="0.4">
      <c r="P46" s="30" t="s">
        <v>8</v>
      </c>
      <c r="Q46" s="31"/>
      <c r="R46" s="19"/>
      <c r="S46" s="19"/>
      <c r="T46" s="3"/>
      <c r="U46" s="3"/>
      <c r="V46" s="3"/>
      <c r="X46" s="30" t="s">
        <v>8</v>
      </c>
      <c r="Y46" s="31"/>
      <c r="Z46" s="19"/>
      <c r="AA46" s="19"/>
      <c r="AB46" s="3"/>
      <c r="AC46" s="3"/>
      <c r="AD46" s="3"/>
      <c r="AF46" s="30" t="s">
        <v>8</v>
      </c>
      <c r="AG46" s="31"/>
      <c r="AH46" s="19"/>
      <c r="AI46" s="19"/>
      <c r="AJ46" s="3"/>
      <c r="AK46" s="3"/>
      <c r="AL46" s="3"/>
    </row>
    <row r="47" spans="15:38" ht="15" customHeight="1" thickBot="1" x14ac:dyDescent="0.4">
      <c r="P47" s="32" t="s">
        <v>9</v>
      </c>
      <c r="Q47" s="33"/>
      <c r="R47" s="19"/>
      <c r="S47" s="19"/>
      <c r="T47" s="3"/>
      <c r="U47" s="3"/>
      <c r="V47" s="3"/>
      <c r="X47" s="32" t="s">
        <v>9</v>
      </c>
      <c r="Y47" s="33"/>
      <c r="Z47" s="19"/>
      <c r="AA47" s="19"/>
      <c r="AB47" s="3"/>
      <c r="AC47" s="3"/>
      <c r="AD47" s="3"/>
      <c r="AF47" s="32" t="s">
        <v>9</v>
      </c>
      <c r="AG47" s="33"/>
      <c r="AH47" s="19"/>
      <c r="AI47" s="19"/>
      <c r="AJ47" s="3"/>
      <c r="AK47" s="3"/>
      <c r="AL47" s="3"/>
    </row>
    <row r="48" spans="15:38" ht="15" customHeight="1" thickBot="1" x14ac:dyDescent="0.4">
      <c r="P48" s="30" t="s">
        <v>10</v>
      </c>
      <c r="Q48" s="31"/>
      <c r="R48" s="19"/>
      <c r="S48" s="19"/>
      <c r="T48" s="3"/>
      <c r="U48" s="3"/>
      <c r="V48" s="3"/>
      <c r="X48" s="30" t="s">
        <v>10</v>
      </c>
      <c r="Y48" s="31"/>
      <c r="Z48" s="19"/>
      <c r="AA48" s="19"/>
      <c r="AB48" s="3"/>
      <c r="AC48" s="3"/>
      <c r="AD48" s="3"/>
      <c r="AF48" s="30" t="s">
        <v>10</v>
      </c>
      <c r="AG48" s="31"/>
      <c r="AH48" s="19"/>
      <c r="AI48" s="19"/>
      <c r="AJ48" s="3"/>
      <c r="AK48" s="3"/>
      <c r="AL48" s="3"/>
    </row>
    <row r="49" spans="16:38" ht="15" customHeight="1" thickBot="1" x14ac:dyDescent="0.4">
      <c r="P49" s="32" t="s">
        <v>11</v>
      </c>
      <c r="Q49" s="33"/>
      <c r="R49" s="19"/>
      <c r="S49" s="19"/>
      <c r="T49" s="3"/>
      <c r="U49" s="3"/>
      <c r="V49" s="3"/>
      <c r="X49" s="32" t="s">
        <v>11</v>
      </c>
      <c r="Y49" s="33"/>
      <c r="Z49" s="19"/>
      <c r="AA49" s="19"/>
      <c r="AB49" s="3"/>
      <c r="AC49" s="3"/>
      <c r="AD49" s="3"/>
      <c r="AF49" s="32" t="s">
        <v>11</v>
      </c>
      <c r="AG49" s="33"/>
      <c r="AH49" s="19"/>
      <c r="AI49" s="19"/>
      <c r="AJ49" s="3"/>
      <c r="AK49" s="3"/>
      <c r="AL49" s="3"/>
    </row>
    <row r="50" spans="16:38" ht="15" customHeight="1" thickBot="1" x14ac:dyDescent="0.4">
      <c r="P50" s="30" t="s">
        <v>12</v>
      </c>
      <c r="Q50" s="31"/>
      <c r="R50" s="19"/>
      <c r="S50" s="19"/>
      <c r="T50" s="3"/>
      <c r="U50" s="3"/>
      <c r="V50" s="3"/>
      <c r="X50" s="30" t="s">
        <v>12</v>
      </c>
      <c r="Y50" s="31"/>
      <c r="Z50" s="19"/>
      <c r="AA50" s="19"/>
      <c r="AB50" s="3"/>
      <c r="AC50" s="3"/>
      <c r="AD50" s="3"/>
      <c r="AF50" s="30" t="s">
        <v>12</v>
      </c>
      <c r="AG50" s="31"/>
      <c r="AH50" s="19"/>
      <c r="AI50" s="19"/>
      <c r="AJ50" s="3"/>
      <c r="AK50" s="3"/>
      <c r="AL50" s="3"/>
    </row>
    <row r="51" spans="16:38" ht="15" customHeight="1" thickBot="1" x14ac:dyDescent="0.4">
      <c r="P51" s="32" t="s">
        <v>13</v>
      </c>
      <c r="Q51" s="33"/>
      <c r="R51" s="19"/>
      <c r="S51" s="19"/>
      <c r="T51" s="3"/>
      <c r="U51" s="3"/>
      <c r="V51" s="3"/>
      <c r="X51" s="32" t="s">
        <v>13</v>
      </c>
      <c r="Y51" s="33"/>
      <c r="Z51" s="19"/>
      <c r="AA51" s="19"/>
      <c r="AB51" s="3"/>
      <c r="AC51" s="3"/>
      <c r="AD51" s="3"/>
      <c r="AF51" s="32" t="s">
        <v>13</v>
      </c>
      <c r="AG51" s="33"/>
      <c r="AH51" s="19"/>
      <c r="AI51" s="19"/>
      <c r="AJ51" s="3"/>
      <c r="AK51" s="3"/>
      <c r="AL51" s="3"/>
    </row>
    <row r="52" spans="16:38" ht="15" customHeight="1" thickBot="1" x14ac:dyDescent="0.4">
      <c r="P52" s="30" t="s">
        <v>14</v>
      </c>
      <c r="Q52" s="31"/>
      <c r="R52" s="19"/>
      <c r="S52" s="19"/>
      <c r="T52" s="3"/>
      <c r="U52" s="3"/>
      <c r="V52" s="3"/>
      <c r="X52" s="30" t="s">
        <v>14</v>
      </c>
      <c r="Y52" s="31"/>
      <c r="Z52" s="19"/>
      <c r="AA52" s="19"/>
      <c r="AB52" s="3"/>
      <c r="AC52" s="3"/>
      <c r="AD52" s="3"/>
      <c r="AF52" s="30" t="s">
        <v>14</v>
      </c>
      <c r="AG52" s="31"/>
      <c r="AH52" s="19"/>
      <c r="AI52" s="19"/>
      <c r="AJ52" s="3"/>
      <c r="AK52" s="3"/>
      <c r="AL52" s="3"/>
    </row>
    <row r="53" spans="16:38" ht="15" customHeight="1" thickBot="1" x14ac:dyDescent="0.4">
      <c r="P53" s="32" t="s">
        <v>15</v>
      </c>
      <c r="Q53" s="33"/>
      <c r="R53" s="19"/>
      <c r="S53" s="19"/>
      <c r="T53" s="3"/>
      <c r="U53" s="3"/>
      <c r="V53" s="3"/>
      <c r="X53" s="32" t="s">
        <v>15</v>
      </c>
      <c r="Y53" s="33"/>
      <c r="Z53" s="19"/>
      <c r="AA53" s="19"/>
      <c r="AB53" s="3"/>
      <c r="AC53" s="3"/>
      <c r="AD53" s="3"/>
      <c r="AF53" s="32" t="s">
        <v>15</v>
      </c>
      <c r="AG53" s="33"/>
      <c r="AH53" s="19"/>
      <c r="AI53" s="19"/>
      <c r="AJ53" s="3"/>
      <c r="AK53" s="3"/>
      <c r="AL53" s="3"/>
    </row>
    <row r="54" spans="16:38" ht="15" customHeight="1" thickBot="1" x14ac:dyDescent="0.4">
      <c r="P54" s="30" t="s">
        <v>16</v>
      </c>
      <c r="Q54" s="31"/>
      <c r="R54" s="19"/>
      <c r="S54" s="19"/>
      <c r="T54" s="3"/>
      <c r="U54" s="3"/>
      <c r="V54" s="3"/>
      <c r="X54" s="30" t="s">
        <v>16</v>
      </c>
      <c r="Y54" s="31"/>
      <c r="Z54" s="19"/>
      <c r="AA54" s="19"/>
      <c r="AB54" s="3"/>
      <c r="AC54" s="3"/>
      <c r="AD54" s="3"/>
      <c r="AF54" s="30" t="s">
        <v>16</v>
      </c>
      <c r="AG54" s="31"/>
      <c r="AH54" s="19"/>
      <c r="AI54" s="19"/>
      <c r="AJ54" s="3"/>
      <c r="AK54" s="3"/>
      <c r="AL54" s="3"/>
    </row>
    <row r="55" spans="16:38" ht="15" customHeight="1" thickBot="1" x14ac:dyDescent="0.4">
      <c r="P55" s="32" t="s">
        <v>17</v>
      </c>
      <c r="Q55" s="33"/>
      <c r="R55" s="19"/>
      <c r="S55" s="19"/>
      <c r="T55" s="3"/>
      <c r="U55" s="3"/>
      <c r="V55" s="3"/>
      <c r="X55" s="32" t="s">
        <v>17</v>
      </c>
      <c r="Y55" s="33"/>
      <c r="Z55" s="19"/>
      <c r="AA55" s="19"/>
      <c r="AB55" s="3"/>
      <c r="AC55" s="3"/>
      <c r="AD55" s="3"/>
      <c r="AF55" s="32" t="s">
        <v>17</v>
      </c>
      <c r="AG55" s="33"/>
      <c r="AH55" s="19"/>
      <c r="AI55" s="19"/>
      <c r="AJ55" s="3"/>
      <c r="AK55" s="3"/>
      <c r="AL55" s="3"/>
    </row>
    <row r="56" spans="16:38" ht="15" customHeight="1" thickBot="1" x14ac:dyDescent="0.4">
      <c r="P56" s="30" t="s">
        <v>18</v>
      </c>
      <c r="Q56" s="31"/>
      <c r="R56" s="19"/>
      <c r="S56" s="19"/>
      <c r="T56" s="3"/>
      <c r="U56" s="3"/>
      <c r="V56" s="3"/>
      <c r="X56" s="30" t="s">
        <v>18</v>
      </c>
      <c r="Y56" s="31"/>
      <c r="Z56" s="19"/>
      <c r="AA56" s="19"/>
      <c r="AB56" s="3"/>
      <c r="AC56" s="3"/>
      <c r="AD56" s="3"/>
      <c r="AF56" s="30" t="s">
        <v>18</v>
      </c>
      <c r="AG56" s="31"/>
      <c r="AH56" s="19"/>
      <c r="AI56" s="19"/>
      <c r="AJ56" s="3"/>
      <c r="AK56" s="3"/>
      <c r="AL56" s="3"/>
    </row>
    <row r="57" spans="16:38" ht="21.75" customHeight="1" thickBot="1" x14ac:dyDescent="0.4">
      <c r="P57" s="28" t="s">
        <v>31</v>
      </c>
      <c r="Q57" s="8" t="s">
        <v>46</v>
      </c>
      <c r="R57" s="15">
        <v>288.35798299999999</v>
      </c>
      <c r="S57" s="15">
        <f>R57*(36/33)</f>
        <v>314.57234509090904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59.200968000000003</v>
      </c>
      <c r="AA57" s="15">
        <f>Z57*(36/33)</f>
        <v>64.582874181818184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51.900745100000002</v>
      </c>
      <c r="AI57" s="15">
        <f>AH57*(36/33)</f>
        <v>56.618994654545453</v>
      </c>
      <c r="AJ57" s="3" t="s">
        <v>37</v>
      </c>
      <c r="AK57" s="3" t="s">
        <v>43</v>
      </c>
      <c r="AL57" s="3"/>
    </row>
    <row r="58" spans="16:38" ht="21.75" customHeight="1" thickBot="1" x14ac:dyDescent="0.4">
      <c r="P58" s="37"/>
      <c r="Q58" s="8" t="s">
        <v>47</v>
      </c>
      <c r="R58" s="15">
        <v>256.57844799999998</v>
      </c>
      <c r="S58" s="15">
        <f>R58*(36/33)</f>
        <v>279.90376145454542</v>
      </c>
      <c r="T58" s="3"/>
      <c r="U58" s="3"/>
      <c r="V58" s="3"/>
      <c r="X58" s="37"/>
      <c r="Y58" s="8" t="s">
        <v>47</v>
      </c>
      <c r="Z58" s="15">
        <v>60.086615999999999</v>
      </c>
      <c r="AA58" s="15">
        <f>Z58*(33/30)</f>
        <v>66.095277600000003</v>
      </c>
      <c r="AB58" s="3"/>
      <c r="AC58" s="3"/>
      <c r="AD58" s="3"/>
      <c r="AF58" s="37"/>
      <c r="AG58" s="8" t="s">
        <v>47</v>
      </c>
      <c r="AH58" s="15">
        <v>50.552838299999998</v>
      </c>
      <c r="AI58" s="15">
        <f>AH58*(33/30)</f>
        <v>55.608122130000005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261.72263600000002</v>
      </c>
      <c r="S59" s="16">
        <f t="shared" ref="S59:S75" si="5">R59*(36/33)</f>
        <v>285.51560290909089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60.456288000000001</v>
      </c>
      <c r="AA59" s="16">
        <f t="shared" ref="AA59:AA65" si="6">Z59*(36/33)</f>
        <v>65.952314181818181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51.965752500000001</v>
      </c>
      <c r="AI59" s="16">
        <f t="shared" ref="AI59:AI65" si="7">AH59*(36/33)</f>
        <v>56.689911818181812</v>
      </c>
      <c r="AJ59" s="13" t="s">
        <v>37</v>
      </c>
      <c r="AK59" s="3" t="s">
        <v>43</v>
      </c>
      <c r="AL59" s="3"/>
    </row>
    <row r="60" spans="16:38" ht="23.25" customHeight="1" thickBot="1" x14ac:dyDescent="0.4">
      <c r="P60" s="24" t="s">
        <v>32</v>
      </c>
      <c r="Q60" s="8" t="s">
        <v>46</v>
      </c>
      <c r="R60" s="15">
        <v>82.188000000000002</v>
      </c>
      <c r="S60" s="15">
        <f t="shared" si="5"/>
        <v>89.659636363636366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40.454051999999997</v>
      </c>
      <c r="AA60" s="15">
        <f t="shared" si="6"/>
        <v>44.131693090909081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26.972586</v>
      </c>
      <c r="AI60" s="15">
        <f t="shared" si="7"/>
        <v>29.424639272727269</v>
      </c>
      <c r="AJ60" s="3" t="s">
        <v>37</v>
      </c>
      <c r="AK60" s="3" t="s">
        <v>43</v>
      </c>
      <c r="AL60" s="3"/>
    </row>
    <row r="61" spans="16:38" ht="24.75" customHeight="1" thickBot="1" x14ac:dyDescent="0.4">
      <c r="P61" s="36"/>
      <c r="Q61" s="8" t="s">
        <v>47</v>
      </c>
      <c r="R61" s="15">
        <v>49.996639999999999</v>
      </c>
      <c r="S61" s="15">
        <f>R61*(36/33)</f>
        <v>54.541789090909084</v>
      </c>
      <c r="T61" s="3"/>
      <c r="U61" s="3"/>
      <c r="V61" s="3"/>
      <c r="X61" s="36"/>
      <c r="Y61" s="8" t="s">
        <v>47</v>
      </c>
      <c r="Z61" s="15">
        <v>38.779375999999999</v>
      </c>
      <c r="AA61" s="15">
        <f>Z61*(33/30)</f>
        <v>42.657313600000002</v>
      </c>
      <c r="AB61" s="3"/>
      <c r="AC61" s="3"/>
      <c r="AD61" s="3"/>
      <c r="AF61" s="36"/>
      <c r="AG61" s="8" t="s">
        <v>47</v>
      </c>
      <c r="AH61" s="15">
        <v>27.214580000000002</v>
      </c>
      <c r="AI61" s="15">
        <f>AH61*(33/30)</f>
        <v>29.936038000000003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51.350127999999998</v>
      </c>
      <c r="S62" s="16">
        <f t="shared" si="5"/>
        <v>56.01832145454545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38.897607999999998</v>
      </c>
      <c r="AA62" s="16">
        <f t="shared" si="6"/>
        <v>42.433754181818173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26.533467999999999</v>
      </c>
      <c r="AI62" s="16">
        <f t="shared" si="7"/>
        <v>28.94560145454545</v>
      </c>
      <c r="AJ62" s="13" t="s">
        <v>37</v>
      </c>
      <c r="AK62" s="3" t="s">
        <v>43</v>
      </c>
      <c r="AL62" s="3"/>
    </row>
    <row r="63" spans="16:38" ht="15" thickBot="1" x14ac:dyDescent="0.4">
      <c r="P63" s="24" t="s">
        <v>33</v>
      </c>
      <c r="Q63" s="8" t="s">
        <v>46</v>
      </c>
      <c r="R63" s="15">
        <v>212.38643200000001</v>
      </c>
      <c r="S63" s="15">
        <f t="shared" si="5"/>
        <v>231.69428945454544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42.339199999999998</v>
      </c>
      <c r="AA63" s="15">
        <f t="shared" si="6"/>
        <v>46.188218181818179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36.642259000000003</v>
      </c>
      <c r="AI63" s="15">
        <f t="shared" si="7"/>
        <v>39.973373454545452</v>
      </c>
      <c r="AJ63" s="3" t="s">
        <v>37</v>
      </c>
      <c r="AK63" s="3" t="s">
        <v>43</v>
      </c>
      <c r="AL63" s="3"/>
    </row>
    <row r="64" spans="16:38" ht="15" thickBot="1" x14ac:dyDescent="0.4">
      <c r="P64" s="36"/>
      <c r="Q64" s="8" t="s">
        <v>47</v>
      </c>
      <c r="R64" s="16">
        <v>214.47534400000001</v>
      </c>
      <c r="S64" s="16">
        <f>R64*(36/33)</f>
        <v>233.97310254545454</v>
      </c>
      <c r="T64" s="3"/>
      <c r="U64" s="3"/>
      <c r="V64" s="3"/>
      <c r="X64" s="36"/>
      <c r="Y64" s="8" t="s">
        <v>47</v>
      </c>
      <c r="Z64" s="15">
        <v>45.432935999999998</v>
      </c>
      <c r="AA64" s="15">
        <f>Z64*(33/30)</f>
        <v>49.976229600000003</v>
      </c>
      <c r="AB64" s="3"/>
      <c r="AC64" s="3"/>
      <c r="AD64" s="3"/>
      <c r="AF64" s="36"/>
      <c r="AG64" s="8" t="s">
        <v>47</v>
      </c>
      <c r="AH64" s="15">
        <v>35.802581500000002</v>
      </c>
      <c r="AI64" s="15">
        <f>AH64*(33/30)</f>
        <v>39.382839650000008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219.54096799999999</v>
      </c>
      <c r="S65" s="16">
        <f t="shared" si="5"/>
        <v>239.4992378181818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44.866036000000001</v>
      </c>
      <c r="AA65" s="16">
        <f t="shared" si="6"/>
        <v>48.944766545454542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39.893005500000001</v>
      </c>
      <c r="AI65" s="16">
        <f t="shared" si="7"/>
        <v>43.519642363636365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22">
        <v>295.08973800000001</v>
      </c>
      <c r="S66" s="22">
        <f>R66*(36/36)</f>
        <v>295.08973800000001</v>
      </c>
      <c r="T66" s="3" t="s">
        <v>37</v>
      </c>
      <c r="U66" s="3" t="s">
        <v>43</v>
      </c>
      <c r="V66" s="3"/>
      <c r="X66" s="26" t="s">
        <v>34</v>
      </c>
      <c r="Y66" s="27"/>
      <c r="Z66" s="22">
        <v>189.05129399999998</v>
      </c>
      <c r="AA66" s="22">
        <f>Z66*(36/36)</f>
        <v>189.05129399999998</v>
      </c>
      <c r="AB66" s="3" t="s">
        <v>37</v>
      </c>
      <c r="AC66" s="3" t="s">
        <v>43</v>
      </c>
      <c r="AD66" s="3"/>
      <c r="AF66" s="26" t="s">
        <v>34</v>
      </c>
      <c r="AG66" s="27"/>
      <c r="AH66" s="22">
        <v>139.4</v>
      </c>
      <c r="AI66" s="22">
        <f>AH66*(36/36)</f>
        <v>139.4</v>
      </c>
      <c r="AJ66" s="3" t="s">
        <v>37</v>
      </c>
      <c r="AK66" s="3" t="s">
        <v>43</v>
      </c>
      <c r="AL66" s="3"/>
    </row>
    <row r="67" spans="16:38" ht="15" thickBot="1" x14ac:dyDescent="0.4">
      <c r="P67" s="28" t="s">
        <v>21</v>
      </c>
      <c r="Q67" s="8" t="s">
        <v>46</v>
      </c>
      <c r="R67" s="15">
        <v>323.25397500000003</v>
      </c>
      <c r="S67" s="15">
        <f t="shared" si="5"/>
        <v>352.64069999999998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61.687144000000004</v>
      </c>
      <c r="AA67" s="15">
        <f t="shared" ref="AA67:AA75" si="8">Z67*(36/33)</f>
        <v>67.295066181818186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21">
        <v>52.150188200000002</v>
      </c>
      <c r="AI67" s="21">
        <f>AH67*(36/33)</f>
        <v>56.891114399999999</v>
      </c>
      <c r="AJ67" s="3" t="s">
        <v>37</v>
      </c>
      <c r="AK67" s="3" t="s">
        <v>43</v>
      </c>
      <c r="AL67" s="3"/>
    </row>
    <row r="68" spans="16:38" ht="15" thickBot="1" x14ac:dyDescent="0.4">
      <c r="P68" s="37"/>
      <c r="Q68" s="8" t="s">
        <v>47</v>
      </c>
      <c r="R68" s="15">
        <v>287.88623200000001</v>
      </c>
      <c r="S68" s="15">
        <f>R68*(36/33)</f>
        <v>314.0577076363636</v>
      </c>
      <c r="T68" s="3"/>
      <c r="U68" s="3"/>
      <c r="V68" s="3"/>
      <c r="X68" s="37"/>
      <c r="Y68" s="8" t="s">
        <v>47</v>
      </c>
      <c r="Z68" s="15">
        <v>62.589855999999997</v>
      </c>
      <c r="AA68" s="15">
        <f>Z68*(33/30)</f>
        <v>68.8488416</v>
      </c>
      <c r="AB68" s="3"/>
      <c r="AC68" s="3"/>
      <c r="AD68" s="3"/>
      <c r="AF68" s="37"/>
      <c r="AG68" s="8" t="s">
        <v>47</v>
      </c>
      <c r="AH68" s="21">
        <v>50.798014700000003</v>
      </c>
      <c r="AI68" s="21">
        <f>AH68*(33/30)</f>
        <v>55.87781617000001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293.33839999999998</v>
      </c>
      <c r="S69" s="16">
        <f t="shared" si="5"/>
        <v>320.00552727272725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62.990631999999998</v>
      </c>
      <c r="AA69" s="16">
        <f t="shared" si="8"/>
        <v>68.71705309090909</v>
      </c>
      <c r="AB69" s="13" t="s">
        <v>37</v>
      </c>
      <c r="AC69" s="3" t="s">
        <v>43</v>
      </c>
      <c r="AD69" s="3"/>
      <c r="AF69" s="29"/>
      <c r="AG69" s="4" t="s">
        <v>20</v>
      </c>
      <c r="AH69" s="23">
        <v>52.218535099999997</v>
      </c>
      <c r="AI69" s="23">
        <f t="shared" ref="AI69:AI75" si="9">AH69*(36/33)</f>
        <v>56.965674654545445</v>
      </c>
      <c r="AJ69" s="13" t="s">
        <v>37</v>
      </c>
      <c r="AK69" s="3" t="s">
        <v>43</v>
      </c>
      <c r="AL69" s="3"/>
    </row>
    <row r="70" spans="16:38" ht="15" thickBot="1" x14ac:dyDescent="0.4">
      <c r="P70" s="28" t="s">
        <v>22</v>
      </c>
      <c r="Q70" s="8" t="s">
        <v>46</v>
      </c>
      <c r="R70" s="15">
        <v>92.367903999999996</v>
      </c>
      <c r="S70" s="15">
        <f t="shared" si="5"/>
        <v>100.76498618181817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37.953764</v>
      </c>
      <c r="AA70" s="15">
        <f t="shared" si="8"/>
        <v>41.404106181818179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21">
        <v>26.337492000000001</v>
      </c>
      <c r="AI70" s="21">
        <f t="shared" si="9"/>
        <v>28.731809454545452</v>
      </c>
      <c r="AJ70" s="3" t="s">
        <v>37</v>
      </c>
      <c r="AK70" s="3" t="s">
        <v>43</v>
      </c>
      <c r="AL70" s="3"/>
    </row>
    <row r="71" spans="16:38" ht="15" thickBot="1" x14ac:dyDescent="0.4">
      <c r="P71" s="37"/>
      <c r="Q71" s="8" t="s">
        <v>47</v>
      </c>
      <c r="R71" s="15">
        <v>55.786320000000003</v>
      </c>
      <c r="S71" s="15">
        <f>R71*(36/33)</f>
        <v>60.857803636363634</v>
      </c>
      <c r="T71" s="3"/>
      <c r="U71" s="3"/>
      <c r="V71" s="3"/>
      <c r="X71" s="37"/>
      <c r="Y71" s="8" t="s">
        <v>47</v>
      </c>
      <c r="Z71" s="15">
        <v>41.249907999999998</v>
      </c>
      <c r="AA71" s="15">
        <f>Z71*(33/30)</f>
        <v>45.374898800000004</v>
      </c>
      <c r="AB71" s="3"/>
      <c r="AC71" s="3"/>
      <c r="AD71" s="3"/>
      <c r="AF71" s="37"/>
      <c r="AG71" s="8" t="s">
        <v>47</v>
      </c>
      <c r="AH71" s="21">
        <v>28.110828000000001</v>
      </c>
      <c r="AI71" s="21">
        <f>AH71*(33/30)</f>
        <v>30.921910800000003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57.256328000000003</v>
      </c>
      <c r="S72" s="16">
        <f t="shared" si="5"/>
        <v>62.461448727272725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41.405487999999998</v>
      </c>
      <c r="AA72" s="16">
        <f t="shared" si="8"/>
        <v>45.169623272727264</v>
      </c>
      <c r="AB72" s="13" t="s">
        <v>37</v>
      </c>
      <c r="AC72" s="3" t="s">
        <v>43</v>
      </c>
      <c r="AD72" s="3"/>
      <c r="AF72" s="29"/>
      <c r="AG72" s="4" t="s">
        <v>20</v>
      </c>
      <c r="AH72" s="23">
        <v>27.449956</v>
      </c>
      <c r="AI72" s="23">
        <f t="shared" si="9"/>
        <v>29.945406545454542</v>
      </c>
      <c r="AJ72" s="13" t="s">
        <v>37</v>
      </c>
      <c r="AK72" s="3" t="s">
        <v>43</v>
      </c>
      <c r="AL72" s="3"/>
    </row>
    <row r="73" spans="16:38" ht="15" thickBot="1" x14ac:dyDescent="0.4">
      <c r="P73" s="24" t="s">
        <v>35</v>
      </c>
      <c r="Q73" s="8" t="s">
        <v>46</v>
      </c>
      <c r="R73" s="15">
        <v>237.90601599999999</v>
      </c>
      <c r="S73" s="15">
        <f t="shared" si="5"/>
        <v>259.53383563636362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38.940151999999998</v>
      </c>
      <c r="AA73" s="15">
        <f t="shared" si="8"/>
        <v>42.48016581818181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21">
        <v>36.793350500000003</v>
      </c>
      <c r="AI73" s="21">
        <f t="shared" si="9"/>
        <v>40.138200545454545</v>
      </c>
      <c r="AJ73" s="3" t="s">
        <v>37</v>
      </c>
      <c r="AK73" s="3" t="s">
        <v>43</v>
      </c>
      <c r="AL73" s="3"/>
    </row>
    <row r="74" spans="16:38" ht="15" thickBot="1" x14ac:dyDescent="0.4">
      <c r="P74" s="36"/>
      <c r="Q74" s="8" t="s">
        <v>47</v>
      </c>
      <c r="R74" s="15">
        <v>240.574352</v>
      </c>
      <c r="S74" s="15">
        <f>R74*(36/33)</f>
        <v>262.44474763636362</v>
      </c>
      <c r="T74" s="3"/>
      <c r="U74" s="3"/>
      <c r="V74" s="3"/>
      <c r="X74" s="36"/>
      <c r="Y74" s="8" t="s">
        <v>47</v>
      </c>
      <c r="Z74" s="15">
        <v>48.844028000000002</v>
      </c>
      <c r="AA74" s="15">
        <f>Z74*(33/30)</f>
        <v>53.728430800000005</v>
      </c>
      <c r="AB74" s="3"/>
      <c r="AC74" s="3"/>
      <c r="AD74" s="3"/>
      <c r="AF74" s="36"/>
      <c r="AG74" s="8" t="s">
        <v>47</v>
      </c>
      <c r="AH74" s="21">
        <v>35.894967000000001</v>
      </c>
      <c r="AI74" s="21">
        <f>AH74*(33/30)</f>
        <v>39.484463700000006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246.13828000000001</v>
      </c>
      <c r="S75" s="16">
        <f t="shared" si="5"/>
        <v>268.51448727272725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48.323403999999996</v>
      </c>
      <c r="AA75" s="16">
        <f t="shared" si="8"/>
        <v>52.716440727272719</v>
      </c>
      <c r="AB75" s="13" t="s">
        <v>37</v>
      </c>
      <c r="AC75" s="3" t="s">
        <v>43</v>
      </c>
      <c r="AD75" s="3"/>
      <c r="AF75" s="25"/>
      <c r="AG75" s="4" t="s">
        <v>20</v>
      </c>
      <c r="AH75" s="23">
        <v>40.056729500000003</v>
      </c>
      <c r="AI75" s="23">
        <f t="shared" si="9"/>
        <v>43.698250363636362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22">
        <v>315.70313599999997</v>
      </c>
      <c r="S76" s="22">
        <f>R76*(36/36)</f>
        <v>315.70313599999997</v>
      </c>
      <c r="T76" s="3" t="s">
        <v>37</v>
      </c>
      <c r="U76" s="3" t="s">
        <v>43</v>
      </c>
      <c r="V76" s="3"/>
      <c r="X76" s="26" t="s">
        <v>23</v>
      </c>
      <c r="Y76" s="27"/>
      <c r="Z76" s="22">
        <v>198.49409399999999</v>
      </c>
      <c r="AA76" s="22">
        <f>Z76*(36/36)</f>
        <v>198.49409399999999</v>
      </c>
      <c r="AB76" s="3" t="s">
        <v>37</v>
      </c>
      <c r="AC76" s="3" t="s">
        <v>43</v>
      </c>
      <c r="AD76" s="3"/>
      <c r="AF76" s="26" t="s">
        <v>23</v>
      </c>
      <c r="AG76" s="27"/>
      <c r="AH76" s="22">
        <v>140.80000000000001</v>
      </c>
      <c r="AI76" s="22">
        <f>AH76*(36/36)</f>
        <v>140.80000000000001</v>
      </c>
      <c r="AJ76" s="3" t="s">
        <v>37</v>
      </c>
      <c r="AK76" s="3" t="s">
        <v>43</v>
      </c>
      <c r="AL76" s="3"/>
    </row>
  </sheetData>
  <mergeCells count="150">
    <mergeCell ref="P73:P75"/>
    <mergeCell ref="X73:X75"/>
    <mergeCell ref="AF73:AF75"/>
    <mergeCell ref="P76:Q76"/>
    <mergeCell ref="X76:Y76"/>
    <mergeCell ref="AF76:AG76"/>
    <mergeCell ref="P67:P69"/>
    <mergeCell ref="X67:X69"/>
    <mergeCell ref="AF67:AF69"/>
    <mergeCell ref="P70:P72"/>
    <mergeCell ref="X70:X72"/>
    <mergeCell ref="AF70:AF72"/>
    <mergeCell ref="P63:P65"/>
    <mergeCell ref="X63:X65"/>
    <mergeCell ref="AF63:AF65"/>
    <mergeCell ref="P66:Q66"/>
    <mergeCell ref="X66:Y66"/>
    <mergeCell ref="AF66:AG66"/>
    <mergeCell ref="P57:P59"/>
    <mergeCell ref="X57:X59"/>
    <mergeCell ref="AF57:AF59"/>
    <mergeCell ref="P60:P62"/>
    <mergeCell ref="X60:X62"/>
    <mergeCell ref="AF60:AF62"/>
    <mergeCell ref="P55:Q55"/>
    <mergeCell ref="X55:Y55"/>
    <mergeCell ref="AF55:AG55"/>
    <mergeCell ref="P56:Q56"/>
    <mergeCell ref="X56:Y56"/>
    <mergeCell ref="AF56:AG56"/>
    <mergeCell ref="P53:Q53"/>
    <mergeCell ref="X53:Y53"/>
    <mergeCell ref="AF53:AG53"/>
    <mergeCell ref="P54:Q54"/>
    <mergeCell ref="X54:Y54"/>
    <mergeCell ref="AF54:AG54"/>
    <mergeCell ref="P51:Q51"/>
    <mergeCell ref="X51:Y51"/>
    <mergeCell ref="AF51:AG51"/>
    <mergeCell ref="P52:Q52"/>
    <mergeCell ref="X52:Y52"/>
    <mergeCell ref="AF52:AG52"/>
    <mergeCell ref="P49:Q49"/>
    <mergeCell ref="X49:Y49"/>
    <mergeCell ref="AF49:AG49"/>
    <mergeCell ref="P50:Q50"/>
    <mergeCell ref="X50:Y50"/>
    <mergeCell ref="AF50:AG50"/>
    <mergeCell ref="P47:Q47"/>
    <mergeCell ref="X47:Y47"/>
    <mergeCell ref="AF47:AG47"/>
    <mergeCell ref="P48:Q48"/>
    <mergeCell ref="X48:Y48"/>
    <mergeCell ref="AF48:AG48"/>
    <mergeCell ref="P45:Q45"/>
    <mergeCell ref="X45:Y45"/>
    <mergeCell ref="AF45:AG45"/>
    <mergeCell ref="P46:Q46"/>
    <mergeCell ref="X46:Y46"/>
    <mergeCell ref="AF46:AG46"/>
    <mergeCell ref="P43:Q43"/>
    <mergeCell ref="X43:Y43"/>
    <mergeCell ref="AF43:AG43"/>
    <mergeCell ref="P44:Q44"/>
    <mergeCell ref="X44:Y44"/>
    <mergeCell ref="AF44:AG44"/>
    <mergeCell ref="P41:Q41"/>
    <mergeCell ref="X41:Y41"/>
    <mergeCell ref="AF41:AG41"/>
    <mergeCell ref="P42:Q42"/>
    <mergeCell ref="X42:Y42"/>
    <mergeCell ref="AF42:AG42"/>
    <mergeCell ref="P37:Q37"/>
    <mergeCell ref="X37:Y37"/>
    <mergeCell ref="AF37:AG37"/>
    <mergeCell ref="P40:Q40"/>
    <mergeCell ref="X40:Y40"/>
    <mergeCell ref="AF40:AG40"/>
    <mergeCell ref="P31:P33"/>
    <mergeCell ref="X31:X33"/>
    <mergeCell ref="AF31:AF33"/>
    <mergeCell ref="P34:P36"/>
    <mergeCell ref="X34:X36"/>
    <mergeCell ref="AF34:AF36"/>
    <mergeCell ref="P27:Q27"/>
    <mergeCell ref="X27:Y27"/>
    <mergeCell ref="AF27:AG27"/>
    <mergeCell ref="P28:P30"/>
    <mergeCell ref="X28:X30"/>
    <mergeCell ref="AF28:AF30"/>
    <mergeCell ref="P21:P23"/>
    <mergeCell ref="X21:X23"/>
    <mergeCell ref="AF21:AF23"/>
    <mergeCell ref="P24:P26"/>
    <mergeCell ref="X24:X26"/>
    <mergeCell ref="AF24:AF26"/>
    <mergeCell ref="P17:Q17"/>
    <mergeCell ref="X17:Y17"/>
    <mergeCell ref="AF17:AG17"/>
    <mergeCell ref="P18:P20"/>
    <mergeCell ref="X18:X20"/>
    <mergeCell ref="AF18:AF20"/>
    <mergeCell ref="P15:Q15"/>
    <mergeCell ref="X15:Y15"/>
    <mergeCell ref="AF15:AG15"/>
    <mergeCell ref="P16:Q16"/>
    <mergeCell ref="X16:Y16"/>
    <mergeCell ref="AF16:AG16"/>
    <mergeCell ref="P13:Q13"/>
    <mergeCell ref="X13:Y13"/>
    <mergeCell ref="AF13:AG13"/>
    <mergeCell ref="P14:Q14"/>
    <mergeCell ref="X14:Y14"/>
    <mergeCell ref="AF14:AG14"/>
    <mergeCell ref="P11:Q11"/>
    <mergeCell ref="X11:Y11"/>
    <mergeCell ref="AF11:AG11"/>
    <mergeCell ref="P12:Q12"/>
    <mergeCell ref="X12:Y12"/>
    <mergeCell ref="AF12:AG12"/>
    <mergeCell ref="P9:Q9"/>
    <mergeCell ref="X9:Y9"/>
    <mergeCell ref="AF9:AG9"/>
    <mergeCell ref="P10:Q10"/>
    <mergeCell ref="X10:Y10"/>
    <mergeCell ref="AF10:AG10"/>
    <mergeCell ref="P7:Q7"/>
    <mergeCell ref="X7:Y7"/>
    <mergeCell ref="AF7:AG7"/>
    <mergeCell ref="P8:Q8"/>
    <mergeCell ref="X8:Y8"/>
    <mergeCell ref="AF8:AG8"/>
    <mergeCell ref="P6:Q6"/>
    <mergeCell ref="X6:Y6"/>
    <mergeCell ref="AF6:AG6"/>
    <mergeCell ref="P3:Q3"/>
    <mergeCell ref="X3:Y3"/>
    <mergeCell ref="AF3:AG3"/>
    <mergeCell ref="P4:Q4"/>
    <mergeCell ref="X4:Y4"/>
    <mergeCell ref="AF4:AG4"/>
    <mergeCell ref="P1:Q1"/>
    <mergeCell ref="X1:Y1"/>
    <mergeCell ref="AF1:AG1"/>
    <mergeCell ref="P2:Q2"/>
    <mergeCell ref="X2:Y2"/>
    <mergeCell ref="AF2:AG2"/>
    <mergeCell ref="P5:Q5"/>
    <mergeCell ref="X5:Y5"/>
    <mergeCell ref="AF5:AG5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975E-809D-4DB0-AA18-C71B8EECEF4D}">
  <sheetPr>
    <tabColor theme="8" tint="0.79998168889431442"/>
  </sheetPr>
  <dimension ref="O1:AL76"/>
  <sheetViews>
    <sheetView workbookViewId="0">
      <selection sqref="A1:N104857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5" max="15" width="7.81640625" bestFit="1" customWidth="1"/>
    <col min="16" max="16" width="27.81640625" customWidth="1"/>
    <col min="17" max="17" width="17.7265625" customWidth="1"/>
    <col min="18" max="18" width="11.54296875" bestFit="1" customWidth="1"/>
    <col min="24" max="24" width="26.1796875" customWidth="1"/>
    <col min="25" max="25" width="19.1796875" customWidth="1"/>
    <col min="26" max="26" width="11.54296875" bestFit="1" customWidth="1"/>
    <col min="32" max="32" width="26.1796875" customWidth="1"/>
    <col min="33" max="33" width="17.542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26</v>
      </c>
      <c r="S1" s="1"/>
      <c r="T1" s="1"/>
      <c r="U1" s="1"/>
      <c r="V1" s="1"/>
      <c r="X1" s="34" t="s">
        <v>0</v>
      </c>
      <c r="Y1" s="35"/>
      <c r="Z1" s="1" t="s">
        <v>26</v>
      </c>
      <c r="AA1" s="1"/>
      <c r="AB1" s="1"/>
      <c r="AC1" s="1"/>
      <c r="AD1" s="1"/>
      <c r="AF1" s="34" t="s">
        <v>0</v>
      </c>
      <c r="AG1" s="35"/>
      <c r="AH1" s="1" t="s">
        <v>26</v>
      </c>
      <c r="AI1" s="1"/>
      <c r="AJ1" s="1"/>
      <c r="AK1" s="1"/>
      <c r="AL1" s="1"/>
    </row>
    <row r="2" spans="15:38" ht="15" customHeight="1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customHeight="1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customHeight="1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customHeight="1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customHeight="1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customHeight="1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customHeight="1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customHeight="1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customHeight="1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customHeight="1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customHeight="1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customHeight="1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customHeight="1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customHeight="1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customHeight="1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customHeight="1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thickBot="1" x14ac:dyDescent="0.4">
      <c r="P18" s="28" t="s">
        <v>31</v>
      </c>
      <c r="Q18" s="8" t="s">
        <v>46</v>
      </c>
      <c r="R18" s="21">
        <v>216.2</v>
      </c>
      <c r="S18" s="21">
        <f>R18*(33/30)</f>
        <v>237.82</v>
      </c>
      <c r="T18" s="5" t="s">
        <v>37</v>
      </c>
      <c r="U18" s="5" t="s">
        <v>43</v>
      </c>
      <c r="V18" s="5"/>
      <c r="X18" s="28" t="s">
        <v>31</v>
      </c>
      <c r="Y18" s="8" t="s">
        <v>19</v>
      </c>
      <c r="Z18" s="15">
        <v>81.690166000000005</v>
      </c>
      <c r="AA18" s="15">
        <f>Z18*(33/30)</f>
        <v>89.859182600000011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21">
        <v>67.099999999999994</v>
      </c>
      <c r="AI18" s="21">
        <f>AH18*(33/30)</f>
        <v>73.81</v>
      </c>
      <c r="AJ18" s="5" t="s">
        <v>37</v>
      </c>
      <c r="AK18" s="5" t="s">
        <v>43</v>
      </c>
      <c r="AL18" s="5"/>
    </row>
    <row r="19" spans="16:38" ht="15" thickBot="1" x14ac:dyDescent="0.4">
      <c r="P19" s="37"/>
      <c r="Q19" s="8" t="s">
        <v>47</v>
      </c>
      <c r="R19" s="15">
        <v>257.43662</v>
      </c>
      <c r="S19" s="15">
        <f>R19*(33/30)</f>
        <v>283.18028200000003</v>
      </c>
      <c r="T19" s="5"/>
      <c r="U19" s="5"/>
      <c r="V19" s="5"/>
      <c r="X19" s="37"/>
      <c r="Y19" s="8" t="s">
        <v>47</v>
      </c>
      <c r="Z19" s="15">
        <v>80.486699999999999</v>
      </c>
      <c r="AA19" s="15">
        <f>Z19*(33/30)</f>
        <v>88.53537</v>
      </c>
      <c r="AB19" s="5"/>
      <c r="AC19" s="5"/>
      <c r="AD19" s="5"/>
      <c r="AF19" s="37"/>
      <c r="AG19" s="8" t="s">
        <v>47</v>
      </c>
      <c r="AH19" s="15">
        <v>52.065058499999999</v>
      </c>
      <c r="AI19" s="15">
        <f>AH19*(33/30)</f>
        <v>57.271564350000006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257.759388</v>
      </c>
      <c r="S20" s="16">
        <f>R20*(33/30)</f>
        <v>283.53532680000001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80.939694000000003</v>
      </c>
      <c r="AA20" s="16">
        <f>Z20*(33/30)</f>
        <v>89.033663400000009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52.011187499999998</v>
      </c>
      <c r="AI20" s="16">
        <f>AH20*(33/30)</f>
        <v>57.212306250000005</v>
      </c>
      <c r="AJ20" s="12" t="s">
        <v>37</v>
      </c>
      <c r="AK20" s="5" t="s">
        <v>43</v>
      </c>
      <c r="AL20" s="5"/>
    </row>
    <row r="21" spans="16:38" ht="15" thickBot="1" x14ac:dyDescent="0.4">
      <c r="P21" s="24" t="s">
        <v>32</v>
      </c>
      <c r="Q21" s="8" t="s">
        <v>46</v>
      </c>
      <c r="R21" s="21">
        <v>59.9</v>
      </c>
      <c r="S21" s="21">
        <f t="shared" ref="S21:S36" si="0">R21*(33/30)</f>
        <v>65.89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46.638424000000001</v>
      </c>
      <c r="AA21" s="15">
        <f t="shared" ref="AA21:AA26" si="1">Z21*(33/30)</f>
        <v>51.302266400000008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21">
        <v>25.641148000000001</v>
      </c>
      <c r="AI21" s="21">
        <f t="shared" ref="AI21:AI26" si="2">AH21*(33/30)</f>
        <v>28.205262800000003</v>
      </c>
      <c r="AJ21" s="5" t="s">
        <v>37</v>
      </c>
      <c r="AK21" s="5" t="s">
        <v>43</v>
      </c>
      <c r="AL21" s="5"/>
    </row>
    <row r="22" spans="16:38" ht="15" thickBot="1" x14ac:dyDescent="0.4">
      <c r="P22" s="36"/>
      <c r="Q22" s="8" t="s">
        <v>47</v>
      </c>
      <c r="R22" s="15">
        <v>70.898492000000005</v>
      </c>
      <c r="S22" s="15">
        <f>R22*(33/30)</f>
        <v>77.988341200000008</v>
      </c>
      <c r="T22" s="5"/>
      <c r="U22" s="5"/>
      <c r="V22" s="5"/>
      <c r="X22" s="36"/>
      <c r="Y22" s="8" t="s">
        <v>47</v>
      </c>
      <c r="Z22" s="15">
        <v>34.015403999999997</v>
      </c>
      <c r="AA22" s="15">
        <f>Z22*(33/30)</f>
        <v>37.416944399999998</v>
      </c>
      <c r="AB22" s="5"/>
      <c r="AC22" s="5"/>
      <c r="AD22" s="5"/>
      <c r="AF22" s="36"/>
      <c r="AG22" s="8" t="s">
        <v>47</v>
      </c>
      <c r="AH22" s="15">
        <v>19.599053000000001</v>
      </c>
      <c r="AI22" s="15">
        <f>AH22*(33/30)</f>
        <v>21.558958300000004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71.097768000000002</v>
      </c>
      <c r="S23" s="16">
        <f t="shared" si="0"/>
        <v>78.207544800000008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36.353670000000001</v>
      </c>
      <c r="AA23" s="16">
        <f t="shared" si="1"/>
        <v>39.989037000000003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22.550618</v>
      </c>
      <c r="AI23" s="16">
        <f t="shared" si="2"/>
        <v>24.805679800000004</v>
      </c>
      <c r="AJ23" s="12" t="s">
        <v>37</v>
      </c>
      <c r="AK23" s="5" t="s">
        <v>43</v>
      </c>
      <c r="AL23" s="5"/>
    </row>
    <row r="24" spans="16:38" ht="15" thickBot="1" x14ac:dyDescent="0.4">
      <c r="P24" s="24" t="s">
        <v>33</v>
      </c>
      <c r="Q24" s="8" t="s">
        <v>46</v>
      </c>
      <c r="R24" s="21">
        <v>228.3</v>
      </c>
      <c r="S24" s="21">
        <f t="shared" si="0"/>
        <v>251.13000000000002</v>
      </c>
      <c r="T24" s="5" t="s">
        <v>37</v>
      </c>
      <c r="U24" s="5" t="s">
        <v>43</v>
      </c>
      <c r="V24" s="5"/>
      <c r="X24" s="24" t="s">
        <v>33</v>
      </c>
      <c r="Y24" s="8" t="s">
        <v>46</v>
      </c>
      <c r="Z24" s="15">
        <v>50.283734000000003</v>
      </c>
      <c r="AA24" s="15">
        <f t="shared" si="1"/>
        <v>55.312107400000009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21">
        <v>34.799298999999998</v>
      </c>
      <c r="AI24" s="21">
        <f t="shared" si="2"/>
        <v>38.2792289</v>
      </c>
      <c r="AJ24" s="5" t="s">
        <v>37</v>
      </c>
      <c r="AK24" s="5" t="s">
        <v>43</v>
      </c>
      <c r="AL24" s="5"/>
    </row>
    <row r="25" spans="16:38" ht="15" thickBot="1" x14ac:dyDescent="0.4">
      <c r="P25" s="36"/>
      <c r="Q25" s="8" t="s">
        <v>47</v>
      </c>
      <c r="R25" s="15">
        <v>184.48921200000001</v>
      </c>
      <c r="S25" s="15">
        <f>R25*(33/30)</f>
        <v>202.93813320000004</v>
      </c>
      <c r="T25" s="5"/>
      <c r="U25" s="5"/>
      <c r="V25" s="5"/>
      <c r="X25" s="36"/>
      <c r="Y25" s="8" t="s">
        <v>47</v>
      </c>
      <c r="Z25" s="15">
        <v>50.820504</v>
      </c>
      <c r="AA25" s="15">
        <f>Z25*(33/30)</f>
        <v>55.902554400000007</v>
      </c>
      <c r="AB25" s="5"/>
      <c r="AC25" s="5"/>
      <c r="AD25" s="5"/>
      <c r="AF25" s="36"/>
      <c r="AG25" s="8" t="s">
        <v>47</v>
      </c>
      <c r="AH25" s="15">
        <v>29.879916000000001</v>
      </c>
      <c r="AI25" s="15">
        <f>AH25*(33/30)</f>
        <v>32.867907600000002</v>
      </c>
      <c r="AJ25" s="5" t="s">
        <v>37</v>
      </c>
      <c r="AK25" s="5"/>
      <c r="AL25" s="5"/>
    </row>
    <row r="26" spans="16:38" ht="15" thickBot="1" x14ac:dyDescent="0.4">
      <c r="P26" s="25"/>
      <c r="Q26" s="4" t="s">
        <v>20</v>
      </c>
      <c r="R26" s="16">
        <v>184.474186</v>
      </c>
      <c r="S26" s="16">
        <f t="shared" si="0"/>
        <v>202.92160460000002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52.672068000000003</v>
      </c>
      <c r="AA26" s="16">
        <f t="shared" si="1"/>
        <v>57.939274800000007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31.6928795</v>
      </c>
      <c r="AI26" s="16">
        <f t="shared" si="2"/>
        <v>34.862167450000001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22">
        <v>257.69429100000002</v>
      </c>
      <c r="S27" s="22">
        <f>R27*(33/33)</f>
        <v>257.69429100000002</v>
      </c>
      <c r="T27" s="5" t="s">
        <v>37</v>
      </c>
      <c r="U27" s="5" t="s">
        <v>43</v>
      </c>
      <c r="V27" s="5"/>
      <c r="X27" s="26" t="s">
        <v>34</v>
      </c>
      <c r="Y27" s="27"/>
      <c r="Z27" s="22">
        <v>163.51737739999999</v>
      </c>
      <c r="AA27" s="22">
        <f>Z27*(33/33)</f>
        <v>163.51737739999999</v>
      </c>
      <c r="AB27" s="5" t="s">
        <v>37</v>
      </c>
      <c r="AC27" s="5" t="s">
        <v>43</v>
      </c>
      <c r="AD27" s="5"/>
      <c r="AF27" s="26" t="s">
        <v>34</v>
      </c>
      <c r="AG27" s="27"/>
      <c r="AH27" s="22">
        <v>142.30000000000001</v>
      </c>
      <c r="AI27" s="22">
        <f>AH27</f>
        <v>142.30000000000001</v>
      </c>
      <c r="AJ27" s="5" t="s">
        <v>37</v>
      </c>
      <c r="AK27" s="5" t="s">
        <v>43</v>
      </c>
      <c r="AL27" s="5"/>
    </row>
    <row r="28" spans="16:38" ht="15" thickBot="1" x14ac:dyDescent="0.4">
      <c r="P28" s="28" t="s">
        <v>21</v>
      </c>
      <c r="Q28" s="8" t="s">
        <v>46</v>
      </c>
      <c r="R28" s="21">
        <v>245.4</v>
      </c>
      <c r="S28" s="21">
        <f t="shared" si="0"/>
        <v>269.94000000000005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86.452020000000005</v>
      </c>
      <c r="AA28" s="15">
        <f t="shared" ref="AA28:AA36" si="3">Z28*(33/30)</f>
        <v>95.097222000000016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21">
        <v>67.8</v>
      </c>
      <c r="AI28" s="21">
        <f t="shared" ref="AI28:AI36" si="4">AH28*(33/30)</f>
        <v>74.58</v>
      </c>
      <c r="AJ28" s="5" t="s">
        <v>37</v>
      </c>
      <c r="AK28" s="5" t="s">
        <v>43</v>
      </c>
      <c r="AL28" s="5"/>
    </row>
    <row r="29" spans="16:38" ht="15" thickBot="1" x14ac:dyDescent="0.4">
      <c r="P29" s="37"/>
      <c r="Q29" s="8" t="s">
        <v>47</v>
      </c>
      <c r="R29" s="15">
        <v>289.98902399999997</v>
      </c>
      <c r="S29" s="15">
        <f>R29*(33/30)</f>
        <v>318.98792639999999</v>
      </c>
      <c r="T29" s="5"/>
      <c r="U29" s="5"/>
      <c r="V29" s="5"/>
      <c r="X29" s="37"/>
      <c r="Y29" s="8" t="s">
        <v>47</v>
      </c>
      <c r="Z29" s="15">
        <v>85.794077999999999</v>
      </c>
      <c r="AA29" s="15">
        <f>Z29*(33/30)</f>
        <v>94.373485800000012</v>
      </c>
      <c r="AB29" s="5"/>
      <c r="AC29" s="5"/>
      <c r="AD29" s="5"/>
      <c r="AF29" s="37"/>
      <c r="AG29" s="8" t="s">
        <v>47</v>
      </c>
      <c r="AH29" s="15">
        <v>52.198680500000002</v>
      </c>
      <c r="AI29" s="15">
        <f>AH29*(33/30)</f>
        <v>57.418548550000004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290.70481999999998</v>
      </c>
      <c r="S30" s="16">
        <f t="shared" si="0"/>
        <v>319.77530200000001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86.289618000000004</v>
      </c>
      <c r="AA30" s="16">
        <f t="shared" si="3"/>
        <v>94.918579800000018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52.147449999999999</v>
      </c>
      <c r="AI30" s="16">
        <f t="shared" si="4"/>
        <v>57.362195000000007</v>
      </c>
      <c r="AJ30" s="12" t="s">
        <v>37</v>
      </c>
      <c r="AK30" s="5" t="s">
        <v>43</v>
      </c>
      <c r="AL30" s="5"/>
    </row>
    <row r="31" spans="16:38" ht="15" thickBot="1" x14ac:dyDescent="0.4">
      <c r="P31" s="28" t="s">
        <v>22</v>
      </c>
      <c r="Q31" s="8" t="s">
        <v>46</v>
      </c>
      <c r="R31" s="21">
        <v>66.900000000000006</v>
      </c>
      <c r="S31" s="21">
        <f t="shared" si="0"/>
        <v>73.590000000000018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43.454135999999998</v>
      </c>
      <c r="AA31" s="15">
        <f t="shared" si="3"/>
        <v>47.799549599999999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21">
        <v>26.026289999999999</v>
      </c>
      <c r="AI31" s="21">
        <f t="shared" si="4"/>
        <v>28.628919000000003</v>
      </c>
      <c r="AJ31" s="5" t="s">
        <v>37</v>
      </c>
      <c r="AK31" s="5" t="s">
        <v>43</v>
      </c>
      <c r="AL31" s="5"/>
    </row>
    <row r="32" spans="16:38" ht="15" thickBot="1" x14ac:dyDescent="0.4">
      <c r="P32" s="37"/>
      <c r="Q32" s="8" t="s">
        <v>47</v>
      </c>
      <c r="R32" s="15">
        <v>79.988408000000007</v>
      </c>
      <c r="S32" s="15">
        <f>R32*(33/30)</f>
        <v>87.987248800000017</v>
      </c>
      <c r="T32" s="5"/>
      <c r="U32" s="5"/>
      <c r="V32" s="5"/>
      <c r="X32" s="37"/>
      <c r="Y32" s="8" t="s">
        <v>47</v>
      </c>
      <c r="Z32" s="15">
        <v>36.454376000000003</v>
      </c>
      <c r="AA32" s="15">
        <f>Z32*(33/30)</f>
        <v>40.099813600000004</v>
      </c>
      <c r="AB32" s="5"/>
      <c r="AC32" s="5"/>
      <c r="AD32" s="5"/>
      <c r="AF32" s="37"/>
      <c r="AG32" s="8" t="s">
        <v>47</v>
      </c>
      <c r="AH32" s="15">
        <v>19.991137999999999</v>
      </c>
      <c r="AI32" s="15">
        <f>AH32*(33/30)</f>
        <v>21.990251800000003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80.254896000000002</v>
      </c>
      <c r="S33" s="16">
        <f t="shared" si="0"/>
        <v>88.280385600000017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40.341031999999998</v>
      </c>
      <c r="AA33" s="16">
        <f t="shared" si="3"/>
        <v>44.375135200000003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23.142534000000001</v>
      </c>
      <c r="AI33" s="16">
        <f t="shared" si="4"/>
        <v>25.456787400000003</v>
      </c>
      <c r="AJ33" s="12" t="s">
        <v>37</v>
      </c>
      <c r="AK33" s="5" t="s">
        <v>43</v>
      </c>
      <c r="AL33" s="5"/>
    </row>
    <row r="34" spans="15:38" ht="15" thickBot="1" x14ac:dyDescent="0.4">
      <c r="P34" s="24" t="s">
        <v>35</v>
      </c>
      <c r="Q34" s="8" t="s">
        <v>46</v>
      </c>
      <c r="R34" s="21">
        <v>254.8</v>
      </c>
      <c r="S34" s="21">
        <f t="shared" si="0"/>
        <v>280.28000000000003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59.24906</v>
      </c>
      <c r="AA34" s="15">
        <f t="shared" si="3"/>
        <v>65.173966000000007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21">
        <v>34.769156000000002</v>
      </c>
      <c r="AI34" s="21">
        <f t="shared" si="4"/>
        <v>38.246071600000008</v>
      </c>
      <c r="AJ34" s="5" t="s">
        <v>37</v>
      </c>
      <c r="AK34" s="5" t="s">
        <v>43</v>
      </c>
      <c r="AL34" s="5"/>
    </row>
    <row r="35" spans="15:38" ht="15" thickBot="1" x14ac:dyDescent="0.4">
      <c r="P35" s="36"/>
      <c r="Q35" s="8" t="s">
        <v>47</v>
      </c>
      <c r="R35" s="15">
        <v>205.848252</v>
      </c>
      <c r="S35" s="15">
        <f>R35*(33/30)</f>
        <v>226.43307720000001</v>
      </c>
      <c r="T35" s="5"/>
      <c r="U35" s="5"/>
      <c r="V35" s="5"/>
      <c r="X35" s="36"/>
      <c r="Y35" s="8" t="s">
        <v>47</v>
      </c>
      <c r="Z35" s="15">
        <v>55.394804000000001</v>
      </c>
      <c r="AA35" s="15">
        <f>Z35*(33/30)</f>
        <v>60.934284400000003</v>
      </c>
      <c r="AB35" s="5"/>
      <c r="AC35" s="5"/>
      <c r="AD35" s="5"/>
      <c r="AF35" s="36"/>
      <c r="AG35" s="8" t="s">
        <v>47</v>
      </c>
      <c r="AH35" s="15">
        <v>30.125787500000001</v>
      </c>
      <c r="AI35" s="15">
        <f>AH35*(33/30)</f>
        <v>33.138366250000004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205.86737199999999</v>
      </c>
      <c r="S36" s="16">
        <f t="shared" si="0"/>
        <v>226.4541092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57.289580000000001</v>
      </c>
      <c r="AA36" s="16">
        <f t="shared" si="3"/>
        <v>63.018538000000007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31.9484095</v>
      </c>
      <c r="AI36" s="16">
        <f t="shared" si="4"/>
        <v>35.143250450000004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22">
        <v>277.22238399999998</v>
      </c>
      <c r="S37" s="22">
        <f>R37*(33/33)</f>
        <v>277.22238399999998</v>
      </c>
      <c r="T37" s="5" t="s">
        <v>37</v>
      </c>
      <c r="U37" s="5" t="s">
        <v>43</v>
      </c>
      <c r="V37" s="5"/>
      <c r="X37" s="26" t="s">
        <v>23</v>
      </c>
      <c r="Y37" s="27"/>
      <c r="Z37" s="22">
        <v>172.1276</v>
      </c>
      <c r="AA37" s="22">
        <f>Z37*(33/33)</f>
        <v>172.1276</v>
      </c>
      <c r="AB37" s="5" t="s">
        <v>37</v>
      </c>
      <c r="AC37" s="5" t="s">
        <v>43</v>
      </c>
      <c r="AD37" s="5"/>
      <c r="AF37" s="26" t="s">
        <v>23</v>
      </c>
      <c r="AG37" s="27"/>
      <c r="AH37" s="22">
        <v>146.1</v>
      </c>
      <c r="AI37" s="22">
        <f>AH37*(33/33)</f>
        <v>146.1</v>
      </c>
      <c r="AJ37" s="5" t="s">
        <v>37</v>
      </c>
      <c r="AK37" s="5" t="s">
        <v>43</v>
      </c>
      <c r="AL37" s="5"/>
    </row>
    <row r="38" spans="15:38" x14ac:dyDescent="0.35">
      <c r="R38" s="6"/>
      <c r="S38" s="6"/>
      <c r="Z38" s="6"/>
      <c r="AA38" s="6"/>
      <c r="AH38" s="6"/>
      <c r="AI38" s="6"/>
    </row>
    <row r="39" spans="15:38" ht="15" thickBot="1" x14ac:dyDescent="0.4">
      <c r="R39" s="6"/>
      <c r="S39" s="6"/>
      <c r="Z39" s="6"/>
      <c r="AA39" s="6"/>
      <c r="AH39" s="6"/>
      <c r="AI39" s="6"/>
    </row>
    <row r="40" spans="15:38" ht="23.5" thickBot="1" x14ac:dyDescent="0.4">
      <c r="P40" s="34" t="s">
        <v>0</v>
      </c>
      <c r="Q40" s="35"/>
      <c r="R40" s="18" t="s">
        <v>26</v>
      </c>
      <c r="S40" s="18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8" t="s">
        <v>26</v>
      </c>
      <c r="AA40" s="18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8" t="s">
        <v>26</v>
      </c>
      <c r="AI40" s="18"/>
      <c r="AJ40" s="1" t="s">
        <v>25</v>
      </c>
      <c r="AK40" s="1" t="s">
        <v>26</v>
      </c>
      <c r="AL40" s="1" t="s">
        <v>27</v>
      </c>
    </row>
    <row r="41" spans="15:38" ht="15" customHeight="1" thickBot="1" x14ac:dyDescent="0.4">
      <c r="O41" s="2" t="s">
        <v>28</v>
      </c>
      <c r="P41" s="32" t="s">
        <v>3</v>
      </c>
      <c r="Q41" s="33"/>
      <c r="R41" s="19"/>
      <c r="S41" s="19"/>
      <c r="T41" s="3"/>
      <c r="U41" s="3"/>
      <c r="V41" s="3"/>
      <c r="W41" s="2" t="s">
        <v>28</v>
      </c>
      <c r="X41" s="32" t="s">
        <v>3</v>
      </c>
      <c r="Y41" s="33"/>
      <c r="Z41" s="19"/>
      <c r="AA41" s="19"/>
      <c r="AB41" s="3"/>
      <c r="AC41" s="3"/>
      <c r="AD41" s="3"/>
      <c r="AE41" s="2" t="s">
        <v>28</v>
      </c>
      <c r="AF41" s="32" t="s">
        <v>3</v>
      </c>
      <c r="AG41" s="33"/>
      <c r="AH41" s="19"/>
      <c r="AI41" s="19"/>
      <c r="AJ41" s="3"/>
      <c r="AK41" s="3"/>
      <c r="AL41" s="3"/>
    </row>
    <row r="42" spans="15:38" ht="15" customHeight="1" thickBot="1" x14ac:dyDescent="0.4">
      <c r="O42" s="6" t="s">
        <v>44</v>
      </c>
      <c r="P42" s="30" t="s">
        <v>4</v>
      </c>
      <c r="Q42" s="31"/>
      <c r="R42" s="19"/>
      <c r="S42" s="19"/>
      <c r="T42" s="3"/>
      <c r="U42" s="3"/>
      <c r="V42" s="3"/>
      <c r="W42" s="6" t="s">
        <v>30</v>
      </c>
      <c r="X42" s="30" t="s">
        <v>4</v>
      </c>
      <c r="Y42" s="31"/>
      <c r="Z42" s="19"/>
      <c r="AA42" s="19"/>
      <c r="AB42" s="3"/>
      <c r="AC42" s="3"/>
      <c r="AD42" s="3"/>
      <c r="AE42" s="6" t="s">
        <v>45</v>
      </c>
      <c r="AF42" s="30" t="s">
        <v>4</v>
      </c>
      <c r="AG42" s="31"/>
      <c r="AH42" s="19"/>
      <c r="AI42" s="19"/>
      <c r="AJ42" s="3"/>
      <c r="AK42" s="3"/>
      <c r="AL42" s="3"/>
    </row>
    <row r="43" spans="15:38" ht="15" customHeight="1" thickBot="1" x14ac:dyDescent="0.4">
      <c r="P43" s="32" t="s">
        <v>5</v>
      </c>
      <c r="Q43" s="33"/>
      <c r="R43" s="19"/>
      <c r="S43" s="19"/>
      <c r="T43" s="3"/>
      <c r="U43" s="3"/>
      <c r="V43" s="3"/>
      <c r="X43" s="32" t="s">
        <v>5</v>
      </c>
      <c r="Y43" s="33"/>
      <c r="Z43" s="19"/>
      <c r="AA43" s="19"/>
      <c r="AB43" s="3"/>
      <c r="AC43" s="3"/>
      <c r="AD43" s="3"/>
      <c r="AF43" s="32" t="s">
        <v>5</v>
      </c>
      <c r="AG43" s="33"/>
      <c r="AH43" s="19"/>
      <c r="AI43" s="19"/>
      <c r="AJ43" s="3"/>
      <c r="AK43" s="3"/>
      <c r="AL43" s="3"/>
    </row>
    <row r="44" spans="15:38" ht="15" customHeight="1" thickBot="1" x14ac:dyDescent="0.4">
      <c r="P44" s="30" t="s">
        <v>6</v>
      </c>
      <c r="Q44" s="31"/>
      <c r="R44" s="19"/>
      <c r="S44" s="19"/>
      <c r="T44" s="3"/>
      <c r="U44" s="3"/>
      <c r="V44" s="3"/>
      <c r="X44" s="30" t="s">
        <v>6</v>
      </c>
      <c r="Y44" s="31"/>
      <c r="Z44" s="19"/>
      <c r="AA44" s="19"/>
      <c r="AB44" s="3"/>
      <c r="AC44" s="3"/>
      <c r="AD44" s="3"/>
      <c r="AF44" s="30" t="s">
        <v>6</v>
      </c>
      <c r="AG44" s="31"/>
      <c r="AH44" s="19"/>
      <c r="AI44" s="19"/>
      <c r="AJ44" s="3"/>
      <c r="AK44" s="3"/>
      <c r="AL44" s="3"/>
    </row>
    <row r="45" spans="15:38" ht="15" customHeight="1" thickBot="1" x14ac:dyDescent="0.4">
      <c r="P45" s="32" t="s">
        <v>7</v>
      </c>
      <c r="Q45" s="33"/>
      <c r="R45" s="19"/>
      <c r="S45" s="19"/>
      <c r="T45" s="3"/>
      <c r="U45" s="3"/>
      <c r="V45" s="3"/>
      <c r="X45" s="32" t="s">
        <v>7</v>
      </c>
      <c r="Y45" s="33"/>
      <c r="Z45" s="19"/>
      <c r="AA45" s="19"/>
      <c r="AB45" s="3"/>
      <c r="AC45" s="3"/>
      <c r="AD45" s="3"/>
      <c r="AF45" s="32" t="s">
        <v>7</v>
      </c>
      <c r="AG45" s="33"/>
      <c r="AH45" s="19"/>
      <c r="AI45" s="19"/>
      <c r="AJ45" s="3"/>
      <c r="AK45" s="3"/>
      <c r="AL45" s="3"/>
    </row>
    <row r="46" spans="15:38" ht="15" customHeight="1" thickBot="1" x14ac:dyDescent="0.4">
      <c r="P46" s="30" t="s">
        <v>8</v>
      </c>
      <c r="Q46" s="31"/>
      <c r="R46" s="19"/>
      <c r="S46" s="19"/>
      <c r="T46" s="3"/>
      <c r="U46" s="3"/>
      <c r="V46" s="3"/>
      <c r="X46" s="30" t="s">
        <v>8</v>
      </c>
      <c r="Y46" s="31"/>
      <c r="Z46" s="19"/>
      <c r="AA46" s="19"/>
      <c r="AB46" s="3"/>
      <c r="AC46" s="3"/>
      <c r="AD46" s="3"/>
      <c r="AF46" s="30" t="s">
        <v>8</v>
      </c>
      <c r="AG46" s="31"/>
      <c r="AH46" s="19"/>
      <c r="AI46" s="19"/>
      <c r="AJ46" s="3"/>
      <c r="AK46" s="3"/>
      <c r="AL46" s="3"/>
    </row>
    <row r="47" spans="15:38" ht="15" customHeight="1" thickBot="1" x14ac:dyDescent="0.4">
      <c r="P47" s="32" t="s">
        <v>9</v>
      </c>
      <c r="Q47" s="33"/>
      <c r="R47" s="19"/>
      <c r="S47" s="19"/>
      <c r="T47" s="3"/>
      <c r="U47" s="3"/>
      <c r="V47" s="3"/>
      <c r="X47" s="32" t="s">
        <v>9</v>
      </c>
      <c r="Y47" s="33"/>
      <c r="Z47" s="19"/>
      <c r="AA47" s="19"/>
      <c r="AB47" s="3"/>
      <c r="AC47" s="3"/>
      <c r="AD47" s="3"/>
      <c r="AF47" s="32" t="s">
        <v>9</v>
      </c>
      <c r="AG47" s="33"/>
      <c r="AH47" s="19"/>
      <c r="AI47" s="19"/>
      <c r="AJ47" s="3"/>
      <c r="AK47" s="3"/>
      <c r="AL47" s="3"/>
    </row>
    <row r="48" spans="15:38" ht="15" customHeight="1" thickBot="1" x14ac:dyDescent="0.4">
      <c r="P48" s="30" t="s">
        <v>10</v>
      </c>
      <c r="Q48" s="31"/>
      <c r="R48" s="19"/>
      <c r="S48" s="19"/>
      <c r="T48" s="3"/>
      <c r="U48" s="3"/>
      <c r="V48" s="3"/>
      <c r="X48" s="30" t="s">
        <v>10</v>
      </c>
      <c r="Y48" s="31"/>
      <c r="Z48" s="19"/>
      <c r="AA48" s="19"/>
      <c r="AB48" s="3"/>
      <c r="AC48" s="3"/>
      <c r="AD48" s="3"/>
      <c r="AF48" s="30" t="s">
        <v>10</v>
      </c>
      <c r="AG48" s="31"/>
      <c r="AH48" s="19"/>
      <c r="AI48" s="19"/>
      <c r="AJ48" s="3"/>
      <c r="AK48" s="3"/>
      <c r="AL48" s="3"/>
    </row>
    <row r="49" spans="16:38" ht="15" customHeight="1" thickBot="1" x14ac:dyDescent="0.4">
      <c r="P49" s="32" t="s">
        <v>11</v>
      </c>
      <c r="Q49" s="33"/>
      <c r="R49" s="19"/>
      <c r="S49" s="19"/>
      <c r="T49" s="3"/>
      <c r="U49" s="3"/>
      <c r="V49" s="3"/>
      <c r="X49" s="32" t="s">
        <v>11</v>
      </c>
      <c r="Y49" s="33"/>
      <c r="Z49" s="19"/>
      <c r="AA49" s="19"/>
      <c r="AB49" s="3"/>
      <c r="AC49" s="3"/>
      <c r="AD49" s="3"/>
      <c r="AF49" s="32" t="s">
        <v>11</v>
      </c>
      <c r="AG49" s="33"/>
      <c r="AH49" s="19"/>
      <c r="AI49" s="19"/>
      <c r="AJ49" s="3"/>
      <c r="AK49" s="3"/>
      <c r="AL49" s="3"/>
    </row>
    <row r="50" spans="16:38" ht="15" customHeight="1" thickBot="1" x14ac:dyDescent="0.4">
      <c r="P50" s="30" t="s">
        <v>12</v>
      </c>
      <c r="Q50" s="31"/>
      <c r="R50" s="19"/>
      <c r="S50" s="19"/>
      <c r="T50" s="3"/>
      <c r="U50" s="3"/>
      <c r="V50" s="3"/>
      <c r="X50" s="30" t="s">
        <v>12</v>
      </c>
      <c r="Y50" s="31"/>
      <c r="Z50" s="19"/>
      <c r="AA50" s="19"/>
      <c r="AB50" s="3"/>
      <c r="AC50" s="3"/>
      <c r="AD50" s="3"/>
      <c r="AF50" s="30" t="s">
        <v>12</v>
      </c>
      <c r="AG50" s="31"/>
      <c r="AH50" s="19"/>
      <c r="AI50" s="19"/>
      <c r="AJ50" s="3"/>
      <c r="AK50" s="3"/>
      <c r="AL50" s="3"/>
    </row>
    <row r="51" spans="16:38" ht="15" customHeight="1" thickBot="1" x14ac:dyDescent="0.4">
      <c r="P51" s="32" t="s">
        <v>13</v>
      </c>
      <c r="Q51" s="33"/>
      <c r="R51" s="19"/>
      <c r="S51" s="19"/>
      <c r="T51" s="3"/>
      <c r="U51" s="3"/>
      <c r="V51" s="3"/>
      <c r="X51" s="32" t="s">
        <v>13</v>
      </c>
      <c r="Y51" s="33"/>
      <c r="Z51" s="19"/>
      <c r="AA51" s="19"/>
      <c r="AB51" s="3"/>
      <c r="AC51" s="3"/>
      <c r="AD51" s="3"/>
      <c r="AF51" s="32" t="s">
        <v>13</v>
      </c>
      <c r="AG51" s="33"/>
      <c r="AH51" s="19"/>
      <c r="AI51" s="19"/>
      <c r="AJ51" s="3"/>
      <c r="AK51" s="3"/>
      <c r="AL51" s="3"/>
    </row>
    <row r="52" spans="16:38" ht="15" customHeight="1" thickBot="1" x14ac:dyDescent="0.4">
      <c r="P52" s="30" t="s">
        <v>14</v>
      </c>
      <c r="Q52" s="31"/>
      <c r="R52" s="19"/>
      <c r="S52" s="19"/>
      <c r="T52" s="3"/>
      <c r="U52" s="3"/>
      <c r="V52" s="3"/>
      <c r="X52" s="30" t="s">
        <v>14</v>
      </c>
      <c r="Y52" s="31"/>
      <c r="Z52" s="19"/>
      <c r="AA52" s="19"/>
      <c r="AB52" s="3"/>
      <c r="AC52" s="3"/>
      <c r="AD52" s="3"/>
      <c r="AF52" s="30" t="s">
        <v>14</v>
      </c>
      <c r="AG52" s="31"/>
      <c r="AH52" s="19"/>
      <c r="AI52" s="19"/>
      <c r="AJ52" s="3"/>
      <c r="AK52" s="3"/>
      <c r="AL52" s="3"/>
    </row>
    <row r="53" spans="16:38" ht="15" customHeight="1" thickBot="1" x14ac:dyDescent="0.4">
      <c r="P53" s="32" t="s">
        <v>15</v>
      </c>
      <c r="Q53" s="33"/>
      <c r="R53" s="19"/>
      <c r="S53" s="19"/>
      <c r="T53" s="3"/>
      <c r="U53" s="3"/>
      <c r="V53" s="3"/>
      <c r="X53" s="32" t="s">
        <v>15</v>
      </c>
      <c r="Y53" s="33"/>
      <c r="Z53" s="19"/>
      <c r="AA53" s="19"/>
      <c r="AB53" s="3"/>
      <c r="AC53" s="3"/>
      <c r="AD53" s="3"/>
      <c r="AF53" s="32" t="s">
        <v>15</v>
      </c>
      <c r="AG53" s="33"/>
      <c r="AH53" s="19"/>
      <c r="AI53" s="19"/>
      <c r="AJ53" s="3"/>
      <c r="AK53" s="3"/>
      <c r="AL53" s="3"/>
    </row>
    <row r="54" spans="16:38" ht="15" customHeight="1" thickBot="1" x14ac:dyDescent="0.4">
      <c r="P54" s="30" t="s">
        <v>16</v>
      </c>
      <c r="Q54" s="31"/>
      <c r="R54" s="19"/>
      <c r="S54" s="19"/>
      <c r="T54" s="3"/>
      <c r="U54" s="3"/>
      <c r="V54" s="3"/>
      <c r="X54" s="30" t="s">
        <v>16</v>
      </c>
      <c r="Y54" s="31"/>
      <c r="Z54" s="19"/>
      <c r="AA54" s="19"/>
      <c r="AB54" s="3"/>
      <c r="AC54" s="3"/>
      <c r="AD54" s="3"/>
      <c r="AF54" s="30" t="s">
        <v>16</v>
      </c>
      <c r="AG54" s="31"/>
      <c r="AH54" s="19"/>
      <c r="AI54" s="19"/>
      <c r="AJ54" s="3"/>
      <c r="AK54" s="3"/>
      <c r="AL54" s="3"/>
    </row>
    <row r="55" spans="16:38" ht="15" customHeight="1" thickBot="1" x14ac:dyDescent="0.4">
      <c r="P55" s="32" t="s">
        <v>17</v>
      </c>
      <c r="Q55" s="33"/>
      <c r="R55" s="19"/>
      <c r="S55" s="19"/>
      <c r="T55" s="3"/>
      <c r="U55" s="3"/>
      <c r="V55" s="3"/>
      <c r="X55" s="32" t="s">
        <v>17</v>
      </c>
      <c r="Y55" s="33"/>
      <c r="Z55" s="19"/>
      <c r="AA55" s="19"/>
      <c r="AB55" s="3"/>
      <c r="AC55" s="3"/>
      <c r="AD55" s="3"/>
      <c r="AF55" s="32" t="s">
        <v>17</v>
      </c>
      <c r="AG55" s="33"/>
      <c r="AH55" s="19"/>
      <c r="AI55" s="19"/>
      <c r="AJ55" s="3"/>
      <c r="AK55" s="3"/>
      <c r="AL55" s="3"/>
    </row>
    <row r="56" spans="16:38" ht="15" customHeight="1" thickBot="1" x14ac:dyDescent="0.4">
      <c r="P56" s="30" t="s">
        <v>18</v>
      </c>
      <c r="Q56" s="31"/>
      <c r="R56" s="19"/>
      <c r="S56" s="19"/>
      <c r="T56" s="3"/>
      <c r="U56" s="3"/>
      <c r="V56" s="3"/>
      <c r="X56" s="30" t="s">
        <v>18</v>
      </c>
      <c r="Y56" s="31"/>
      <c r="Z56" s="19"/>
      <c r="AA56" s="19"/>
      <c r="AB56" s="3"/>
      <c r="AC56" s="3"/>
      <c r="AD56" s="3"/>
      <c r="AF56" s="30" t="s">
        <v>18</v>
      </c>
      <c r="AG56" s="31"/>
      <c r="AH56" s="19"/>
      <c r="AI56" s="19"/>
      <c r="AJ56" s="3"/>
      <c r="AK56" s="3"/>
      <c r="AL56" s="3"/>
    </row>
    <row r="57" spans="16:38" ht="21.75" customHeight="1" thickBot="1" x14ac:dyDescent="0.4">
      <c r="P57" s="28" t="s">
        <v>31</v>
      </c>
      <c r="Q57" s="8" t="s">
        <v>46</v>
      </c>
      <c r="R57" s="15">
        <v>288.35798299999999</v>
      </c>
      <c r="S57" s="15">
        <f>R57*(36/33)</f>
        <v>314.57234509090904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59.200968000000003</v>
      </c>
      <c r="AA57" s="15">
        <f>Z57*(36/33)</f>
        <v>64.582874181818184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51.900745100000002</v>
      </c>
      <c r="AI57" s="15">
        <f>AH57*(36/33)</f>
        <v>56.618994654545453</v>
      </c>
      <c r="AJ57" s="3" t="s">
        <v>37</v>
      </c>
      <c r="AK57" s="3" t="s">
        <v>43</v>
      </c>
      <c r="AL57" s="3"/>
    </row>
    <row r="58" spans="16:38" ht="21.75" customHeight="1" thickBot="1" x14ac:dyDescent="0.4">
      <c r="P58" s="37"/>
      <c r="Q58" s="8" t="s">
        <v>47</v>
      </c>
      <c r="R58" s="15">
        <v>256.57844799999998</v>
      </c>
      <c r="S58" s="15">
        <f>R58*(36/33)</f>
        <v>279.90376145454542</v>
      </c>
      <c r="T58" s="3"/>
      <c r="U58" s="3"/>
      <c r="V58" s="3"/>
      <c r="X58" s="37"/>
      <c r="Y58" s="8" t="s">
        <v>47</v>
      </c>
      <c r="Z58" s="15">
        <v>60.086615999999999</v>
      </c>
      <c r="AA58" s="15">
        <f>Z58*(33/30)</f>
        <v>66.095277600000003</v>
      </c>
      <c r="AB58" s="3"/>
      <c r="AC58" s="3"/>
      <c r="AD58" s="3"/>
      <c r="AF58" s="37"/>
      <c r="AG58" s="8" t="s">
        <v>47</v>
      </c>
      <c r="AH58" s="15">
        <v>50.552838299999998</v>
      </c>
      <c r="AI58" s="15">
        <f>AH58*(33/30)</f>
        <v>55.608122130000005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261.72263600000002</v>
      </c>
      <c r="S59" s="16">
        <f t="shared" ref="S59:S75" si="5">R59*(36/33)</f>
        <v>285.51560290909089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60.456288000000001</v>
      </c>
      <c r="AA59" s="16">
        <f t="shared" ref="AA59:AA65" si="6">Z59*(36/33)</f>
        <v>65.952314181818181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51.965752500000001</v>
      </c>
      <c r="AI59" s="16">
        <f t="shared" ref="AI59:AI65" si="7">AH59*(36/33)</f>
        <v>56.689911818181812</v>
      </c>
      <c r="AJ59" s="13" t="s">
        <v>37</v>
      </c>
      <c r="AK59" s="3" t="s">
        <v>43</v>
      </c>
      <c r="AL59" s="3"/>
    </row>
    <row r="60" spans="16:38" ht="23.25" customHeight="1" thickBot="1" x14ac:dyDescent="0.4">
      <c r="P60" s="24" t="s">
        <v>32</v>
      </c>
      <c r="Q60" s="8" t="s">
        <v>46</v>
      </c>
      <c r="R60" s="15">
        <v>82.188000000000002</v>
      </c>
      <c r="S60" s="15">
        <f t="shared" si="5"/>
        <v>89.659636363636366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40.454051999999997</v>
      </c>
      <c r="AA60" s="15">
        <f t="shared" si="6"/>
        <v>44.131693090909081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26.972586</v>
      </c>
      <c r="AI60" s="15">
        <f t="shared" si="7"/>
        <v>29.424639272727269</v>
      </c>
      <c r="AJ60" s="3" t="s">
        <v>37</v>
      </c>
      <c r="AK60" s="3" t="s">
        <v>43</v>
      </c>
      <c r="AL60" s="3"/>
    </row>
    <row r="61" spans="16:38" ht="24.75" customHeight="1" thickBot="1" x14ac:dyDescent="0.4">
      <c r="P61" s="36"/>
      <c r="Q61" s="8" t="s">
        <v>47</v>
      </c>
      <c r="R61" s="15">
        <v>49.996639999999999</v>
      </c>
      <c r="S61" s="15">
        <f>R61*(36/33)</f>
        <v>54.541789090909084</v>
      </c>
      <c r="T61" s="3"/>
      <c r="U61" s="3"/>
      <c r="V61" s="3"/>
      <c r="X61" s="36"/>
      <c r="Y61" s="8" t="s">
        <v>47</v>
      </c>
      <c r="Z61" s="15">
        <v>38.779375999999999</v>
      </c>
      <c r="AA61" s="15">
        <f>Z61*(33/30)</f>
        <v>42.657313600000002</v>
      </c>
      <c r="AB61" s="3"/>
      <c r="AC61" s="3"/>
      <c r="AD61" s="3"/>
      <c r="AF61" s="36"/>
      <c r="AG61" s="8" t="s">
        <v>47</v>
      </c>
      <c r="AH61" s="15">
        <v>27.214580000000002</v>
      </c>
      <c r="AI61" s="15">
        <f>AH61*(33/30)</f>
        <v>29.936038000000003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51.350127999999998</v>
      </c>
      <c r="S62" s="16">
        <f t="shared" si="5"/>
        <v>56.01832145454545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38.897607999999998</v>
      </c>
      <c r="AA62" s="16">
        <f t="shared" si="6"/>
        <v>42.433754181818173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26.533467999999999</v>
      </c>
      <c r="AI62" s="16">
        <f t="shared" si="7"/>
        <v>28.94560145454545</v>
      </c>
      <c r="AJ62" s="13" t="s">
        <v>37</v>
      </c>
      <c r="AK62" s="3" t="s">
        <v>43</v>
      </c>
      <c r="AL62" s="3"/>
    </row>
    <row r="63" spans="16:38" ht="15" thickBot="1" x14ac:dyDescent="0.4">
      <c r="P63" s="24" t="s">
        <v>33</v>
      </c>
      <c r="Q63" s="8" t="s">
        <v>46</v>
      </c>
      <c r="R63" s="15">
        <v>212.38643200000001</v>
      </c>
      <c r="S63" s="15">
        <f t="shared" si="5"/>
        <v>231.69428945454544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42.339199999999998</v>
      </c>
      <c r="AA63" s="15">
        <f t="shared" si="6"/>
        <v>46.188218181818179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36.642259000000003</v>
      </c>
      <c r="AI63" s="15">
        <f t="shared" si="7"/>
        <v>39.973373454545452</v>
      </c>
      <c r="AJ63" s="3" t="s">
        <v>37</v>
      </c>
      <c r="AK63" s="3" t="s">
        <v>43</v>
      </c>
      <c r="AL63" s="3"/>
    </row>
    <row r="64" spans="16:38" ht="15" thickBot="1" x14ac:dyDescent="0.4">
      <c r="P64" s="36"/>
      <c r="Q64" s="8" t="s">
        <v>47</v>
      </c>
      <c r="R64" s="16">
        <v>214.47534400000001</v>
      </c>
      <c r="S64" s="16">
        <f>R64*(36/33)</f>
        <v>233.97310254545454</v>
      </c>
      <c r="T64" s="3"/>
      <c r="U64" s="3"/>
      <c r="V64" s="3"/>
      <c r="X64" s="36"/>
      <c r="Y64" s="8" t="s">
        <v>47</v>
      </c>
      <c r="Z64" s="15">
        <v>45.432935999999998</v>
      </c>
      <c r="AA64" s="15">
        <f>Z64*(33/30)</f>
        <v>49.976229600000003</v>
      </c>
      <c r="AB64" s="3"/>
      <c r="AC64" s="3"/>
      <c r="AD64" s="3"/>
      <c r="AF64" s="36"/>
      <c r="AG64" s="8" t="s">
        <v>47</v>
      </c>
      <c r="AH64" s="15">
        <v>35.802581500000002</v>
      </c>
      <c r="AI64" s="15">
        <f>AH64*(33/30)</f>
        <v>39.382839650000008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219.54096799999999</v>
      </c>
      <c r="S65" s="16">
        <f t="shared" si="5"/>
        <v>239.4992378181818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44.866036000000001</v>
      </c>
      <c r="AA65" s="16">
        <f t="shared" si="6"/>
        <v>48.944766545454542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39.893005500000001</v>
      </c>
      <c r="AI65" s="16">
        <f t="shared" si="7"/>
        <v>43.519642363636365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22">
        <v>295.08973800000001</v>
      </c>
      <c r="S66" s="22">
        <f>R66*(36/36)</f>
        <v>295.08973800000001</v>
      </c>
      <c r="T66" s="3" t="s">
        <v>37</v>
      </c>
      <c r="U66" s="3" t="s">
        <v>43</v>
      </c>
      <c r="V66" s="3"/>
      <c r="X66" s="26" t="s">
        <v>34</v>
      </c>
      <c r="Y66" s="27"/>
      <c r="Z66" s="22">
        <v>189.05129399999998</v>
      </c>
      <c r="AA66" s="22">
        <f>Z66*(36/36)</f>
        <v>189.05129399999998</v>
      </c>
      <c r="AB66" s="3" t="s">
        <v>37</v>
      </c>
      <c r="AC66" s="3" t="s">
        <v>43</v>
      </c>
      <c r="AD66" s="3"/>
      <c r="AF66" s="26" t="s">
        <v>34</v>
      </c>
      <c r="AG66" s="27"/>
      <c r="AH66" s="22">
        <v>139.4</v>
      </c>
      <c r="AI66" s="22">
        <f>AH66*(36/36)</f>
        <v>139.4</v>
      </c>
      <c r="AJ66" s="3" t="s">
        <v>37</v>
      </c>
      <c r="AK66" s="3" t="s">
        <v>43</v>
      </c>
      <c r="AL66" s="3"/>
    </row>
    <row r="67" spans="16:38" ht="15" thickBot="1" x14ac:dyDescent="0.4">
      <c r="P67" s="28" t="s">
        <v>21</v>
      </c>
      <c r="Q67" s="8" t="s">
        <v>46</v>
      </c>
      <c r="R67" s="15">
        <v>323.25397500000003</v>
      </c>
      <c r="S67" s="15">
        <f t="shared" si="5"/>
        <v>352.64069999999998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61.687144000000004</v>
      </c>
      <c r="AA67" s="15">
        <f t="shared" ref="AA67:AA75" si="8">Z67*(36/33)</f>
        <v>67.295066181818186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21">
        <v>52.150188200000002</v>
      </c>
      <c r="AI67" s="21">
        <f>AH67*(36/33)</f>
        <v>56.891114399999999</v>
      </c>
      <c r="AJ67" s="3" t="s">
        <v>37</v>
      </c>
      <c r="AK67" s="3" t="s">
        <v>43</v>
      </c>
      <c r="AL67" s="3"/>
    </row>
    <row r="68" spans="16:38" ht="15" thickBot="1" x14ac:dyDescent="0.4">
      <c r="P68" s="37"/>
      <c r="Q68" s="8" t="s">
        <v>47</v>
      </c>
      <c r="R68" s="15">
        <v>287.88623200000001</v>
      </c>
      <c r="S68" s="15">
        <f>R68*(36/33)</f>
        <v>314.0577076363636</v>
      </c>
      <c r="T68" s="3"/>
      <c r="U68" s="3"/>
      <c r="V68" s="3"/>
      <c r="X68" s="37"/>
      <c r="Y68" s="8" t="s">
        <v>47</v>
      </c>
      <c r="Z68" s="15">
        <v>62.589855999999997</v>
      </c>
      <c r="AA68" s="15">
        <f>Z68*(33/30)</f>
        <v>68.8488416</v>
      </c>
      <c r="AB68" s="3"/>
      <c r="AC68" s="3"/>
      <c r="AD68" s="3"/>
      <c r="AF68" s="37"/>
      <c r="AG68" s="8" t="s">
        <v>47</v>
      </c>
      <c r="AH68" s="21">
        <v>50.798014700000003</v>
      </c>
      <c r="AI68" s="21">
        <f>AH68*(33/30)</f>
        <v>55.87781617000001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293.33839999999998</v>
      </c>
      <c r="S69" s="16">
        <f t="shared" si="5"/>
        <v>320.00552727272725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62.990631999999998</v>
      </c>
      <c r="AA69" s="16">
        <f t="shared" si="8"/>
        <v>68.71705309090909</v>
      </c>
      <c r="AB69" s="13" t="s">
        <v>37</v>
      </c>
      <c r="AC69" s="3" t="s">
        <v>43</v>
      </c>
      <c r="AD69" s="3"/>
      <c r="AF69" s="29"/>
      <c r="AG69" s="4" t="s">
        <v>20</v>
      </c>
      <c r="AH69" s="23">
        <v>52.218535099999997</v>
      </c>
      <c r="AI69" s="23">
        <f t="shared" ref="AI69:AI75" si="9">AH69*(36/33)</f>
        <v>56.965674654545445</v>
      </c>
      <c r="AJ69" s="13" t="s">
        <v>37</v>
      </c>
      <c r="AK69" s="3" t="s">
        <v>43</v>
      </c>
      <c r="AL69" s="3"/>
    </row>
    <row r="70" spans="16:38" ht="15" thickBot="1" x14ac:dyDescent="0.4">
      <c r="P70" s="28" t="s">
        <v>22</v>
      </c>
      <c r="Q70" s="8" t="s">
        <v>46</v>
      </c>
      <c r="R70" s="15">
        <v>92.367903999999996</v>
      </c>
      <c r="S70" s="15">
        <f t="shared" si="5"/>
        <v>100.76498618181817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37.953764</v>
      </c>
      <c r="AA70" s="15">
        <f t="shared" si="8"/>
        <v>41.404106181818179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21">
        <v>26.337492000000001</v>
      </c>
      <c r="AI70" s="21">
        <f t="shared" si="9"/>
        <v>28.731809454545452</v>
      </c>
      <c r="AJ70" s="3" t="s">
        <v>37</v>
      </c>
      <c r="AK70" s="3" t="s">
        <v>43</v>
      </c>
      <c r="AL70" s="3"/>
    </row>
    <row r="71" spans="16:38" ht="15" thickBot="1" x14ac:dyDescent="0.4">
      <c r="P71" s="37"/>
      <c r="Q71" s="8" t="s">
        <v>47</v>
      </c>
      <c r="R71" s="15">
        <v>55.786320000000003</v>
      </c>
      <c r="S71" s="15">
        <f>R71*(36/33)</f>
        <v>60.857803636363634</v>
      </c>
      <c r="T71" s="3"/>
      <c r="U71" s="3"/>
      <c r="V71" s="3"/>
      <c r="X71" s="37"/>
      <c r="Y71" s="8" t="s">
        <v>47</v>
      </c>
      <c r="Z71" s="15">
        <v>41.249907999999998</v>
      </c>
      <c r="AA71" s="15">
        <f>Z71*(33/30)</f>
        <v>45.374898800000004</v>
      </c>
      <c r="AB71" s="3"/>
      <c r="AC71" s="3"/>
      <c r="AD71" s="3"/>
      <c r="AF71" s="37"/>
      <c r="AG71" s="8" t="s">
        <v>47</v>
      </c>
      <c r="AH71" s="21">
        <v>28.110828000000001</v>
      </c>
      <c r="AI71" s="21">
        <f>AH71*(33/30)</f>
        <v>30.921910800000003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57.256328000000003</v>
      </c>
      <c r="S72" s="16">
        <f t="shared" si="5"/>
        <v>62.461448727272725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41.405487999999998</v>
      </c>
      <c r="AA72" s="16">
        <f t="shared" si="8"/>
        <v>45.169623272727264</v>
      </c>
      <c r="AB72" s="13" t="s">
        <v>37</v>
      </c>
      <c r="AC72" s="3" t="s">
        <v>43</v>
      </c>
      <c r="AD72" s="3"/>
      <c r="AF72" s="29"/>
      <c r="AG72" s="4" t="s">
        <v>20</v>
      </c>
      <c r="AH72" s="23">
        <v>27.449956</v>
      </c>
      <c r="AI72" s="23">
        <f t="shared" si="9"/>
        <v>29.945406545454542</v>
      </c>
      <c r="AJ72" s="13" t="s">
        <v>37</v>
      </c>
      <c r="AK72" s="3" t="s">
        <v>43</v>
      </c>
      <c r="AL72" s="3"/>
    </row>
    <row r="73" spans="16:38" ht="15" thickBot="1" x14ac:dyDescent="0.4">
      <c r="P73" s="24" t="s">
        <v>35</v>
      </c>
      <c r="Q73" s="8" t="s">
        <v>46</v>
      </c>
      <c r="R73" s="15">
        <v>237.90601599999999</v>
      </c>
      <c r="S73" s="15">
        <f t="shared" si="5"/>
        <v>259.53383563636362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38.940151999999998</v>
      </c>
      <c r="AA73" s="15">
        <f t="shared" si="8"/>
        <v>42.48016581818181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21">
        <v>36.793350500000003</v>
      </c>
      <c r="AI73" s="21">
        <f t="shared" si="9"/>
        <v>40.138200545454545</v>
      </c>
      <c r="AJ73" s="3" t="s">
        <v>37</v>
      </c>
      <c r="AK73" s="3" t="s">
        <v>43</v>
      </c>
      <c r="AL73" s="3"/>
    </row>
    <row r="74" spans="16:38" ht="15" thickBot="1" x14ac:dyDescent="0.4">
      <c r="P74" s="36"/>
      <c r="Q74" s="8" t="s">
        <v>47</v>
      </c>
      <c r="R74" s="15">
        <v>240.574352</v>
      </c>
      <c r="S74" s="15">
        <f>R74*(36/33)</f>
        <v>262.44474763636362</v>
      </c>
      <c r="T74" s="3"/>
      <c r="U74" s="3"/>
      <c r="V74" s="3"/>
      <c r="X74" s="36"/>
      <c r="Y74" s="8" t="s">
        <v>47</v>
      </c>
      <c r="Z74" s="15">
        <v>48.844028000000002</v>
      </c>
      <c r="AA74" s="15">
        <f>Z74*(33/30)</f>
        <v>53.728430800000005</v>
      </c>
      <c r="AB74" s="3"/>
      <c r="AC74" s="3"/>
      <c r="AD74" s="3"/>
      <c r="AF74" s="36"/>
      <c r="AG74" s="8" t="s">
        <v>47</v>
      </c>
      <c r="AH74" s="21">
        <v>35.894967000000001</v>
      </c>
      <c r="AI74" s="21">
        <f>AH74*(33/30)</f>
        <v>39.484463700000006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246.13828000000001</v>
      </c>
      <c r="S75" s="16">
        <f t="shared" si="5"/>
        <v>268.51448727272725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48.323403999999996</v>
      </c>
      <c r="AA75" s="16">
        <f t="shared" si="8"/>
        <v>52.716440727272719</v>
      </c>
      <c r="AB75" s="13" t="s">
        <v>37</v>
      </c>
      <c r="AC75" s="3" t="s">
        <v>43</v>
      </c>
      <c r="AD75" s="3"/>
      <c r="AF75" s="25"/>
      <c r="AG75" s="4" t="s">
        <v>20</v>
      </c>
      <c r="AH75" s="23">
        <v>40.056729500000003</v>
      </c>
      <c r="AI75" s="23">
        <f t="shared" si="9"/>
        <v>43.698250363636362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22">
        <v>315.70313599999997</v>
      </c>
      <c r="S76" s="22">
        <f>R76*(36/36)</f>
        <v>315.70313599999997</v>
      </c>
      <c r="T76" s="3" t="s">
        <v>37</v>
      </c>
      <c r="U76" s="3" t="s">
        <v>43</v>
      </c>
      <c r="V76" s="3"/>
      <c r="X76" s="26" t="s">
        <v>23</v>
      </c>
      <c r="Y76" s="27"/>
      <c r="Z76" s="22">
        <v>198.49409399999999</v>
      </c>
      <c r="AA76" s="22">
        <f>Z76*(36/36)</f>
        <v>198.49409399999999</v>
      </c>
      <c r="AB76" s="3" t="s">
        <v>37</v>
      </c>
      <c r="AC76" s="3" t="s">
        <v>43</v>
      </c>
      <c r="AD76" s="3"/>
      <c r="AF76" s="26" t="s">
        <v>23</v>
      </c>
      <c r="AG76" s="27"/>
      <c r="AH76" s="22">
        <v>140.80000000000001</v>
      </c>
      <c r="AI76" s="22">
        <f>AH76*(36/36)</f>
        <v>140.80000000000001</v>
      </c>
      <c r="AJ76" s="3" t="s">
        <v>37</v>
      </c>
      <c r="AK76" s="3" t="s">
        <v>43</v>
      </c>
      <c r="AL76" s="3"/>
    </row>
  </sheetData>
  <mergeCells count="150">
    <mergeCell ref="P1:Q1"/>
    <mergeCell ref="X1:Y1"/>
    <mergeCell ref="AF1:AG1"/>
    <mergeCell ref="P2:Q2"/>
    <mergeCell ref="X2:Y2"/>
    <mergeCell ref="AF2:AG2"/>
    <mergeCell ref="P5:Q5"/>
    <mergeCell ref="X5:Y5"/>
    <mergeCell ref="AF5:AG5"/>
    <mergeCell ref="P6:Q6"/>
    <mergeCell ref="X6:Y6"/>
    <mergeCell ref="AF6:AG6"/>
    <mergeCell ref="P3:Q3"/>
    <mergeCell ref="X3:Y3"/>
    <mergeCell ref="AF3:AG3"/>
    <mergeCell ref="P4:Q4"/>
    <mergeCell ref="X4:Y4"/>
    <mergeCell ref="AF4:AG4"/>
    <mergeCell ref="P9:Q9"/>
    <mergeCell ref="X9:Y9"/>
    <mergeCell ref="AF9:AG9"/>
    <mergeCell ref="P10:Q10"/>
    <mergeCell ref="X10:Y10"/>
    <mergeCell ref="AF10:AG10"/>
    <mergeCell ref="P7:Q7"/>
    <mergeCell ref="X7:Y7"/>
    <mergeCell ref="AF7:AG7"/>
    <mergeCell ref="P8:Q8"/>
    <mergeCell ref="X8:Y8"/>
    <mergeCell ref="AF8:AG8"/>
    <mergeCell ref="P13:Q13"/>
    <mergeCell ref="X13:Y13"/>
    <mergeCell ref="AF13:AG13"/>
    <mergeCell ref="P14:Q14"/>
    <mergeCell ref="X14:Y14"/>
    <mergeCell ref="AF14:AG14"/>
    <mergeCell ref="P11:Q11"/>
    <mergeCell ref="X11:Y11"/>
    <mergeCell ref="AF11:AG11"/>
    <mergeCell ref="P12:Q12"/>
    <mergeCell ref="X12:Y12"/>
    <mergeCell ref="AF12:AG12"/>
    <mergeCell ref="P17:Q17"/>
    <mergeCell ref="X17:Y17"/>
    <mergeCell ref="AF17:AG17"/>
    <mergeCell ref="P18:P20"/>
    <mergeCell ref="X18:X20"/>
    <mergeCell ref="AF18:AF20"/>
    <mergeCell ref="P15:Q15"/>
    <mergeCell ref="X15:Y15"/>
    <mergeCell ref="AF15:AG15"/>
    <mergeCell ref="P16:Q16"/>
    <mergeCell ref="X16:Y16"/>
    <mergeCell ref="AF16:AG16"/>
    <mergeCell ref="P27:Q27"/>
    <mergeCell ref="X27:Y27"/>
    <mergeCell ref="AF27:AG27"/>
    <mergeCell ref="P28:P30"/>
    <mergeCell ref="X28:X30"/>
    <mergeCell ref="AF28:AF30"/>
    <mergeCell ref="P21:P23"/>
    <mergeCell ref="X21:X23"/>
    <mergeCell ref="AF21:AF23"/>
    <mergeCell ref="P24:P26"/>
    <mergeCell ref="X24:X26"/>
    <mergeCell ref="AF24:AF26"/>
    <mergeCell ref="P37:Q37"/>
    <mergeCell ref="X37:Y37"/>
    <mergeCell ref="AF37:AG37"/>
    <mergeCell ref="P40:Q40"/>
    <mergeCell ref="X40:Y40"/>
    <mergeCell ref="AF40:AG40"/>
    <mergeCell ref="P31:P33"/>
    <mergeCell ref="X31:X33"/>
    <mergeCell ref="AF31:AF33"/>
    <mergeCell ref="P34:P36"/>
    <mergeCell ref="X34:X36"/>
    <mergeCell ref="AF34:AF36"/>
    <mergeCell ref="P43:Q43"/>
    <mergeCell ref="X43:Y43"/>
    <mergeCell ref="AF43:AG43"/>
    <mergeCell ref="P44:Q44"/>
    <mergeCell ref="X44:Y44"/>
    <mergeCell ref="AF44:AG44"/>
    <mergeCell ref="P41:Q41"/>
    <mergeCell ref="X41:Y41"/>
    <mergeCell ref="AF41:AG41"/>
    <mergeCell ref="P42:Q42"/>
    <mergeCell ref="X42:Y42"/>
    <mergeCell ref="AF42:AG42"/>
    <mergeCell ref="P47:Q47"/>
    <mergeCell ref="X47:Y47"/>
    <mergeCell ref="AF47:AG47"/>
    <mergeCell ref="P48:Q48"/>
    <mergeCell ref="X48:Y48"/>
    <mergeCell ref="AF48:AG48"/>
    <mergeCell ref="P45:Q45"/>
    <mergeCell ref="X45:Y45"/>
    <mergeCell ref="AF45:AG45"/>
    <mergeCell ref="P46:Q46"/>
    <mergeCell ref="X46:Y46"/>
    <mergeCell ref="AF46:AG46"/>
    <mergeCell ref="P51:Q51"/>
    <mergeCell ref="X51:Y51"/>
    <mergeCell ref="AF51:AG51"/>
    <mergeCell ref="P52:Q52"/>
    <mergeCell ref="X52:Y52"/>
    <mergeCell ref="AF52:AG52"/>
    <mergeCell ref="P49:Q49"/>
    <mergeCell ref="X49:Y49"/>
    <mergeCell ref="AF49:AG49"/>
    <mergeCell ref="P50:Q50"/>
    <mergeCell ref="X50:Y50"/>
    <mergeCell ref="AF50:AG50"/>
    <mergeCell ref="P55:Q55"/>
    <mergeCell ref="X55:Y55"/>
    <mergeCell ref="AF55:AG55"/>
    <mergeCell ref="P56:Q56"/>
    <mergeCell ref="X56:Y56"/>
    <mergeCell ref="AF56:AG56"/>
    <mergeCell ref="P53:Q53"/>
    <mergeCell ref="X53:Y53"/>
    <mergeCell ref="AF53:AG53"/>
    <mergeCell ref="P54:Q54"/>
    <mergeCell ref="X54:Y54"/>
    <mergeCell ref="AF54:AG54"/>
    <mergeCell ref="P63:P65"/>
    <mergeCell ref="X63:X65"/>
    <mergeCell ref="AF63:AF65"/>
    <mergeCell ref="P66:Q66"/>
    <mergeCell ref="X66:Y66"/>
    <mergeCell ref="AF66:AG66"/>
    <mergeCell ref="P57:P59"/>
    <mergeCell ref="X57:X59"/>
    <mergeCell ref="AF57:AF59"/>
    <mergeCell ref="P60:P62"/>
    <mergeCell ref="X60:X62"/>
    <mergeCell ref="AF60:AF62"/>
    <mergeCell ref="P73:P75"/>
    <mergeCell ref="X73:X75"/>
    <mergeCell ref="AF73:AF75"/>
    <mergeCell ref="P76:Q76"/>
    <mergeCell ref="X76:Y76"/>
    <mergeCell ref="AF76:AG76"/>
    <mergeCell ref="P67:P69"/>
    <mergeCell ref="X67:X69"/>
    <mergeCell ref="AF67:AF69"/>
    <mergeCell ref="P70:P72"/>
    <mergeCell ref="X70:X72"/>
    <mergeCell ref="AF70:AF72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6E1F-EF57-4900-ABDC-EA3810982F8C}">
  <sheetPr>
    <tabColor theme="7" tint="0.79998168889431442"/>
  </sheetPr>
  <dimension ref="O1:AL76"/>
  <sheetViews>
    <sheetView workbookViewId="0">
      <selection sqref="A1:N104857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5" max="15" width="7.81640625" bestFit="1" customWidth="1"/>
    <col min="16" max="16" width="27.81640625" customWidth="1"/>
    <col min="17" max="17" width="17.7265625" customWidth="1"/>
    <col min="18" max="18" width="11.54296875" bestFit="1" customWidth="1"/>
    <col min="24" max="24" width="26.1796875" customWidth="1"/>
    <col min="25" max="25" width="19.1796875" customWidth="1"/>
    <col min="26" max="26" width="11.54296875" bestFit="1" customWidth="1"/>
    <col min="32" max="32" width="26.1796875" customWidth="1"/>
    <col min="33" max="33" width="17.542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26</v>
      </c>
      <c r="S1" s="1"/>
      <c r="T1" s="1"/>
      <c r="U1" s="1"/>
      <c r="V1" s="1"/>
      <c r="X1" s="34" t="s">
        <v>0</v>
      </c>
      <c r="Y1" s="35"/>
      <c r="Z1" s="1" t="s">
        <v>26</v>
      </c>
      <c r="AA1" s="1"/>
      <c r="AB1" s="1"/>
      <c r="AC1" s="1"/>
      <c r="AD1" s="1"/>
      <c r="AF1" s="34" t="s">
        <v>0</v>
      </c>
      <c r="AG1" s="35"/>
      <c r="AH1" s="1" t="s">
        <v>26</v>
      </c>
      <c r="AI1" s="1"/>
      <c r="AJ1" s="1"/>
      <c r="AK1" s="1"/>
      <c r="AL1" s="1"/>
    </row>
    <row r="2" spans="15:38" ht="15" customHeight="1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customHeight="1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customHeight="1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customHeight="1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customHeight="1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customHeight="1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customHeight="1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customHeight="1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customHeight="1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customHeight="1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customHeight="1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customHeight="1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customHeight="1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customHeight="1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customHeight="1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customHeight="1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thickBot="1" x14ac:dyDescent="0.4">
      <c r="P18" s="28" t="s">
        <v>31</v>
      </c>
      <c r="Q18" s="8" t="s">
        <v>46</v>
      </c>
      <c r="R18" s="21">
        <v>216.2</v>
      </c>
      <c r="S18" s="21">
        <f>R18*(33/30)</f>
        <v>237.82</v>
      </c>
      <c r="T18" s="5" t="s">
        <v>37</v>
      </c>
      <c r="U18" s="5" t="s">
        <v>43</v>
      </c>
      <c r="V18" s="5"/>
      <c r="X18" s="28" t="s">
        <v>31</v>
      </c>
      <c r="Y18" s="8" t="s">
        <v>19</v>
      </c>
      <c r="Z18" s="15">
        <v>81.690166000000005</v>
      </c>
      <c r="AA18" s="15">
        <f>Z18*(33/30)</f>
        <v>89.859182600000011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21">
        <v>67.099999999999994</v>
      </c>
      <c r="AI18" s="21">
        <f>AH18*(33/30)</f>
        <v>73.81</v>
      </c>
      <c r="AJ18" s="5" t="s">
        <v>37</v>
      </c>
      <c r="AK18" s="5" t="s">
        <v>43</v>
      </c>
      <c r="AL18" s="5"/>
    </row>
    <row r="19" spans="16:38" ht="15" thickBot="1" x14ac:dyDescent="0.4">
      <c r="P19" s="37"/>
      <c r="Q19" s="8" t="s">
        <v>47</v>
      </c>
      <c r="R19" s="15">
        <v>257.43662</v>
      </c>
      <c r="S19" s="15">
        <f>R19*(33/30)</f>
        <v>283.18028200000003</v>
      </c>
      <c r="T19" s="5"/>
      <c r="U19" s="5"/>
      <c r="V19" s="5"/>
      <c r="X19" s="37"/>
      <c r="Y19" s="8" t="s">
        <v>47</v>
      </c>
      <c r="Z19" s="15">
        <v>80.486699999999999</v>
      </c>
      <c r="AA19" s="15">
        <f>Z19*(33/30)</f>
        <v>88.53537</v>
      </c>
      <c r="AB19" s="5"/>
      <c r="AC19" s="5"/>
      <c r="AD19" s="5"/>
      <c r="AF19" s="37"/>
      <c r="AG19" s="8" t="s">
        <v>47</v>
      </c>
      <c r="AH19" s="15">
        <v>52.065058499999999</v>
      </c>
      <c r="AI19" s="15">
        <f>AH19*(33/30)</f>
        <v>57.271564350000006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257.759388</v>
      </c>
      <c r="S20" s="16">
        <f>R20*(33/30)</f>
        <v>283.53532680000001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80.939694000000003</v>
      </c>
      <c r="AA20" s="16">
        <f>Z20*(33/30)</f>
        <v>89.033663400000009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52.011187499999998</v>
      </c>
      <c r="AI20" s="16">
        <f>AH20*(33/30)</f>
        <v>57.212306250000005</v>
      </c>
      <c r="AJ20" s="12" t="s">
        <v>37</v>
      </c>
      <c r="AK20" s="5" t="s">
        <v>43</v>
      </c>
      <c r="AL20" s="5"/>
    </row>
    <row r="21" spans="16:38" ht="15" thickBot="1" x14ac:dyDescent="0.4">
      <c r="P21" s="24" t="s">
        <v>32</v>
      </c>
      <c r="Q21" s="8" t="s">
        <v>46</v>
      </c>
      <c r="R21" s="21">
        <v>59.9</v>
      </c>
      <c r="S21" s="21">
        <f t="shared" ref="S21:S36" si="0">R21*(33/30)</f>
        <v>65.89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46.638424000000001</v>
      </c>
      <c r="AA21" s="15">
        <f t="shared" ref="AA21:AA26" si="1">Z21*(33/30)</f>
        <v>51.302266400000008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21">
        <v>25.641148000000001</v>
      </c>
      <c r="AI21" s="21">
        <f t="shared" ref="AI21:AI26" si="2">AH21*(33/30)</f>
        <v>28.205262800000003</v>
      </c>
      <c r="AJ21" s="5" t="s">
        <v>37</v>
      </c>
      <c r="AK21" s="5" t="s">
        <v>43</v>
      </c>
      <c r="AL21" s="5"/>
    </row>
    <row r="22" spans="16:38" ht="15" thickBot="1" x14ac:dyDescent="0.4">
      <c r="P22" s="36"/>
      <c r="Q22" s="8" t="s">
        <v>47</v>
      </c>
      <c r="R22" s="15">
        <v>70.898492000000005</v>
      </c>
      <c r="S22" s="15">
        <f>R22*(33/30)</f>
        <v>77.988341200000008</v>
      </c>
      <c r="T22" s="5"/>
      <c r="U22" s="5"/>
      <c r="V22" s="5"/>
      <c r="X22" s="36"/>
      <c r="Y22" s="8" t="s">
        <v>47</v>
      </c>
      <c r="Z22" s="15">
        <v>34.015403999999997</v>
      </c>
      <c r="AA22" s="15">
        <f>Z22*(33/30)</f>
        <v>37.416944399999998</v>
      </c>
      <c r="AB22" s="5"/>
      <c r="AC22" s="5"/>
      <c r="AD22" s="5"/>
      <c r="AF22" s="36"/>
      <c r="AG22" s="8" t="s">
        <v>47</v>
      </c>
      <c r="AH22" s="15">
        <v>19.599053000000001</v>
      </c>
      <c r="AI22" s="15">
        <f>AH22*(33/30)</f>
        <v>21.558958300000004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71.097768000000002</v>
      </c>
      <c r="S23" s="16">
        <f t="shared" si="0"/>
        <v>78.207544800000008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36.353670000000001</v>
      </c>
      <c r="AA23" s="16">
        <f t="shared" si="1"/>
        <v>39.989037000000003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22.550618</v>
      </c>
      <c r="AI23" s="16">
        <f t="shared" si="2"/>
        <v>24.805679800000004</v>
      </c>
      <c r="AJ23" s="12" t="s">
        <v>37</v>
      </c>
      <c r="AK23" s="5" t="s">
        <v>43</v>
      </c>
      <c r="AL23" s="5"/>
    </row>
    <row r="24" spans="16:38" ht="15" thickBot="1" x14ac:dyDescent="0.4">
      <c r="P24" s="24" t="s">
        <v>33</v>
      </c>
      <c r="Q24" s="8" t="s">
        <v>46</v>
      </c>
      <c r="R24" s="21">
        <v>228.3</v>
      </c>
      <c r="S24" s="21">
        <f t="shared" si="0"/>
        <v>251.13000000000002</v>
      </c>
      <c r="T24" s="5" t="s">
        <v>37</v>
      </c>
      <c r="U24" s="5" t="s">
        <v>43</v>
      </c>
      <c r="V24" s="5"/>
      <c r="X24" s="24" t="s">
        <v>33</v>
      </c>
      <c r="Y24" s="8" t="s">
        <v>46</v>
      </c>
      <c r="Z24" s="15">
        <v>50.283734000000003</v>
      </c>
      <c r="AA24" s="15">
        <f t="shared" si="1"/>
        <v>55.312107400000009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21">
        <v>34.799298999999998</v>
      </c>
      <c r="AI24" s="21">
        <f t="shared" si="2"/>
        <v>38.2792289</v>
      </c>
      <c r="AJ24" s="5" t="s">
        <v>37</v>
      </c>
      <c r="AK24" s="5" t="s">
        <v>43</v>
      </c>
      <c r="AL24" s="5"/>
    </row>
    <row r="25" spans="16:38" ht="15" thickBot="1" x14ac:dyDescent="0.4">
      <c r="P25" s="36"/>
      <c r="Q25" s="8" t="s">
        <v>47</v>
      </c>
      <c r="R25" s="15">
        <v>184.48921200000001</v>
      </c>
      <c r="S25" s="15">
        <f>R25*(33/30)</f>
        <v>202.93813320000004</v>
      </c>
      <c r="T25" s="5"/>
      <c r="U25" s="5"/>
      <c r="V25" s="5"/>
      <c r="X25" s="36"/>
      <c r="Y25" s="8" t="s">
        <v>47</v>
      </c>
      <c r="Z25" s="15">
        <v>50.820504</v>
      </c>
      <c r="AA25" s="15">
        <f>Z25*(33/30)</f>
        <v>55.902554400000007</v>
      </c>
      <c r="AB25" s="5"/>
      <c r="AC25" s="5"/>
      <c r="AD25" s="5"/>
      <c r="AF25" s="36"/>
      <c r="AG25" s="8" t="s">
        <v>47</v>
      </c>
      <c r="AH25" s="15">
        <v>29.879916000000001</v>
      </c>
      <c r="AI25" s="15">
        <f>AH25*(33/30)</f>
        <v>32.867907600000002</v>
      </c>
      <c r="AJ25" s="5" t="s">
        <v>37</v>
      </c>
      <c r="AK25" s="5"/>
      <c r="AL25" s="5"/>
    </row>
    <row r="26" spans="16:38" ht="15" thickBot="1" x14ac:dyDescent="0.4">
      <c r="P26" s="25"/>
      <c r="Q26" s="4" t="s">
        <v>20</v>
      </c>
      <c r="R26" s="16">
        <v>184.474186</v>
      </c>
      <c r="S26" s="16">
        <f t="shared" si="0"/>
        <v>202.92160460000002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52.672068000000003</v>
      </c>
      <c r="AA26" s="16">
        <f t="shared" si="1"/>
        <v>57.939274800000007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31.6928795</v>
      </c>
      <c r="AI26" s="16">
        <f t="shared" si="2"/>
        <v>34.862167450000001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22">
        <v>257.69429100000002</v>
      </c>
      <c r="S27" s="22">
        <f>R27*(33/33)</f>
        <v>257.69429100000002</v>
      </c>
      <c r="T27" s="5" t="s">
        <v>37</v>
      </c>
      <c r="U27" s="5" t="s">
        <v>43</v>
      </c>
      <c r="V27" s="5"/>
      <c r="X27" s="26" t="s">
        <v>34</v>
      </c>
      <c r="Y27" s="27"/>
      <c r="Z27" s="22">
        <v>163.51737739999999</v>
      </c>
      <c r="AA27" s="22">
        <f>Z27*(33/33)</f>
        <v>163.51737739999999</v>
      </c>
      <c r="AB27" s="5" t="s">
        <v>37</v>
      </c>
      <c r="AC27" s="5" t="s">
        <v>43</v>
      </c>
      <c r="AD27" s="5"/>
      <c r="AF27" s="26" t="s">
        <v>34</v>
      </c>
      <c r="AG27" s="27"/>
      <c r="AH27" s="22">
        <v>142.30000000000001</v>
      </c>
      <c r="AI27" s="22">
        <f>AH27</f>
        <v>142.30000000000001</v>
      </c>
      <c r="AJ27" s="5" t="s">
        <v>37</v>
      </c>
      <c r="AK27" s="5" t="s">
        <v>43</v>
      </c>
      <c r="AL27" s="5"/>
    </row>
    <row r="28" spans="16:38" ht="15" thickBot="1" x14ac:dyDescent="0.4">
      <c r="P28" s="28" t="s">
        <v>21</v>
      </c>
      <c r="Q28" s="8" t="s">
        <v>46</v>
      </c>
      <c r="R28" s="21">
        <v>245.4</v>
      </c>
      <c r="S28" s="21">
        <f t="shared" si="0"/>
        <v>269.94000000000005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86.452020000000005</v>
      </c>
      <c r="AA28" s="15">
        <f t="shared" ref="AA28:AA36" si="3">Z28*(33/30)</f>
        <v>95.097222000000016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21">
        <v>67.8</v>
      </c>
      <c r="AI28" s="21">
        <f t="shared" ref="AI28:AI36" si="4">AH28*(33/30)</f>
        <v>74.58</v>
      </c>
      <c r="AJ28" s="5" t="s">
        <v>37</v>
      </c>
      <c r="AK28" s="5" t="s">
        <v>43</v>
      </c>
      <c r="AL28" s="5"/>
    </row>
    <row r="29" spans="16:38" ht="15" thickBot="1" x14ac:dyDescent="0.4">
      <c r="P29" s="37"/>
      <c r="Q29" s="8" t="s">
        <v>47</v>
      </c>
      <c r="R29" s="15">
        <v>289.98902399999997</v>
      </c>
      <c r="S29" s="15">
        <f>R29*(33/30)</f>
        <v>318.98792639999999</v>
      </c>
      <c r="T29" s="5"/>
      <c r="U29" s="5"/>
      <c r="V29" s="5"/>
      <c r="X29" s="37"/>
      <c r="Y29" s="8" t="s">
        <v>47</v>
      </c>
      <c r="Z29" s="15">
        <v>85.794077999999999</v>
      </c>
      <c r="AA29" s="15">
        <f>Z29*(33/30)</f>
        <v>94.373485800000012</v>
      </c>
      <c r="AB29" s="5"/>
      <c r="AC29" s="5"/>
      <c r="AD29" s="5"/>
      <c r="AF29" s="37"/>
      <c r="AG29" s="8" t="s">
        <v>47</v>
      </c>
      <c r="AH29" s="15">
        <v>52.198680500000002</v>
      </c>
      <c r="AI29" s="15">
        <f>AH29*(33/30)</f>
        <v>57.418548550000004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290.70481999999998</v>
      </c>
      <c r="S30" s="16">
        <f t="shared" si="0"/>
        <v>319.77530200000001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86.289618000000004</v>
      </c>
      <c r="AA30" s="16">
        <f t="shared" si="3"/>
        <v>94.918579800000018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52.147449999999999</v>
      </c>
      <c r="AI30" s="16">
        <f t="shared" si="4"/>
        <v>57.362195000000007</v>
      </c>
      <c r="AJ30" s="12" t="s">
        <v>37</v>
      </c>
      <c r="AK30" s="5" t="s">
        <v>43</v>
      </c>
      <c r="AL30" s="5"/>
    </row>
    <row r="31" spans="16:38" ht="15" thickBot="1" x14ac:dyDescent="0.4">
      <c r="P31" s="28" t="s">
        <v>22</v>
      </c>
      <c r="Q31" s="8" t="s">
        <v>46</v>
      </c>
      <c r="R31" s="21">
        <v>66.900000000000006</v>
      </c>
      <c r="S31" s="21">
        <f t="shared" si="0"/>
        <v>73.590000000000018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43.454135999999998</v>
      </c>
      <c r="AA31" s="15">
        <f t="shared" si="3"/>
        <v>47.799549599999999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21">
        <v>26.026289999999999</v>
      </c>
      <c r="AI31" s="21">
        <f t="shared" si="4"/>
        <v>28.628919000000003</v>
      </c>
      <c r="AJ31" s="5" t="s">
        <v>37</v>
      </c>
      <c r="AK31" s="5" t="s">
        <v>43</v>
      </c>
      <c r="AL31" s="5"/>
    </row>
    <row r="32" spans="16:38" ht="15" thickBot="1" x14ac:dyDescent="0.4">
      <c r="P32" s="37"/>
      <c r="Q32" s="8" t="s">
        <v>47</v>
      </c>
      <c r="R32" s="15">
        <v>79.988408000000007</v>
      </c>
      <c r="S32" s="15">
        <f>R32*(33/30)</f>
        <v>87.987248800000017</v>
      </c>
      <c r="T32" s="5"/>
      <c r="U32" s="5"/>
      <c r="V32" s="5"/>
      <c r="X32" s="37"/>
      <c r="Y32" s="8" t="s">
        <v>47</v>
      </c>
      <c r="Z32" s="15">
        <v>36.454376000000003</v>
      </c>
      <c r="AA32" s="15">
        <f>Z32*(33/30)</f>
        <v>40.099813600000004</v>
      </c>
      <c r="AB32" s="5"/>
      <c r="AC32" s="5"/>
      <c r="AD32" s="5"/>
      <c r="AF32" s="37"/>
      <c r="AG32" s="8" t="s">
        <v>47</v>
      </c>
      <c r="AH32" s="15">
        <v>19.991137999999999</v>
      </c>
      <c r="AI32" s="15">
        <f>AH32*(33/30)</f>
        <v>21.990251800000003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80.254896000000002</v>
      </c>
      <c r="S33" s="16">
        <f t="shared" si="0"/>
        <v>88.280385600000017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40.341031999999998</v>
      </c>
      <c r="AA33" s="16">
        <f t="shared" si="3"/>
        <v>44.375135200000003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23.142534000000001</v>
      </c>
      <c r="AI33" s="16">
        <f t="shared" si="4"/>
        <v>25.456787400000003</v>
      </c>
      <c r="AJ33" s="12" t="s">
        <v>37</v>
      </c>
      <c r="AK33" s="5" t="s">
        <v>43</v>
      </c>
      <c r="AL33" s="5"/>
    </row>
    <row r="34" spans="15:38" ht="15" thickBot="1" x14ac:dyDescent="0.4">
      <c r="P34" s="24" t="s">
        <v>35</v>
      </c>
      <c r="Q34" s="8" t="s">
        <v>46</v>
      </c>
      <c r="R34" s="21">
        <v>254.8</v>
      </c>
      <c r="S34" s="21">
        <f t="shared" si="0"/>
        <v>280.28000000000003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59.24906</v>
      </c>
      <c r="AA34" s="15">
        <f t="shared" si="3"/>
        <v>65.173966000000007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21">
        <v>34.769156000000002</v>
      </c>
      <c r="AI34" s="21">
        <f t="shared" si="4"/>
        <v>38.246071600000008</v>
      </c>
      <c r="AJ34" s="5" t="s">
        <v>37</v>
      </c>
      <c r="AK34" s="5" t="s">
        <v>43</v>
      </c>
      <c r="AL34" s="5"/>
    </row>
    <row r="35" spans="15:38" ht="15" thickBot="1" x14ac:dyDescent="0.4">
      <c r="P35" s="36"/>
      <c r="Q35" s="8" t="s">
        <v>47</v>
      </c>
      <c r="R35" s="15">
        <v>205.848252</v>
      </c>
      <c r="S35" s="15">
        <f>R35*(33/30)</f>
        <v>226.43307720000001</v>
      </c>
      <c r="T35" s="5"/>
      <c r="U35" s="5"/>
      <c r="V35" s="5"/>
      <c r="X35" s="36"/>
      <c r="Y35" s="8" t="s">
        <v>47</v>
      </c>
      <c r="Z35" s="15">
        <v>55.394804000000001</v>
      </c>
      <c r="AA35" s="15">
        <f>Z35*(33/30)</f>
        <v>60.934284400000003</v>
      </c>
      <c r="AB35" s="5"/>
      <c r="AC35" s="5"/>
      <c r="AD35" s="5"/>
      <c r="AF35" s="36"/>
      <c r="AG35" s="8" t="s">
        <v>47</v>
      </c>
      <c r="AH35" s="15">
        <v>30.125787500000001</v>
      </c>
      <c r="AI35" s="15">
        <f>AH35*(33/30)</f>
        <v>33.138366250000004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205.86737199999999</v>
      </c>
      <c r="S36" s="16">
        <f t="shared" si="0"/>
        <v>226.4541092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57.289580000000001</v>
      </c>
      <c r="AA36" s="16">
        <f t="shared" si="3"/>
        <v>63.018538000000007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31.9484095</v>
      </c>
      <c r="AI36" s="16">
        <f t="shared" si="4"/>
        <v>35.143250450000004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22">
        <v>277.22238399999998</v>
      </c>
      <c r="S37" s="22">
        <f>R37*(33/33)</f>
        <v>277.22238399999998</v>
      </c>
      <c r="T37" s="5" t="s">
        <v>37</v>
      </c>
      <c r="U37" s="5" t="s">
        <v>43</v>
      </c>
      <c r="V37" s="5"/>
      <c r="X37" s="26" t="s">
        <v>23</v>
      </c>
      <c r="Y37" s="27"/>
      <c r="Z37" s="22">
        <v>172.1276</v>
      </c>
      <c r="AA37" s="22">
        <f>Z37*(33/33)</f>
        <v>172.1276</v>
      </c>
      <c r="AB37" s="5" t="s">
        <v>37</v>
      </c>
      <c r="AC37" s="5" t="s">
        <v>43</v>
      </c>
      <c r="AD37" s="5"/>
      <c r="AF37" s="26" t="s">
        <v>23</v>
      </c>
      <c r="AG37" s="27"/>
      <c r="AH37" s="22">
        <v>146.1</v>
      </c>
      <c r="AI37" s="22">
        <f>AH37*(33/33)</f>
        <v>146.1</v>
      </c>
      <c r="AJ37" s="5" t="s">
        <v>37</v>
      </c>
      <c r="AK37" s="5" t="s">
        <v>43</v>
      </c>
      <c r="AL37" s="5"/>
    </row>
    <row r="38" spans="15:38" x14ac:dyDescent="0.35">
      <c r="R38" s="6"/>
      <c r="S38" s="6"/>
      <c r="Z38" s="6"/>
      <c r="AA38" s="6"/>
      <c r="AH38" s="6"/>
      <c r="AI38" s="6"/>
    </row>
    <row r="39" spans="15:38" ht="15" thickBot="1" x14ac:dyDescent="0.4">
      <c r="R39" s="6"/>
      <c r="S39" s="6"/>
      <c r="Z39" s="6"/>
      <c r="AA39" s="6"/>
      <c r="AH39" s="6"/>
      <c r="AI39" s="6"/>
    </row>
    <row r="40" spans="15:38" ht="23.5" thickBot="1" x14ac:dyDescent="0.4">
      <c r="P40" s="34" t="s">
        <v>0</v>
      </c>
      <c r="Q40" s="35"/>
      <c r="R40" s="18" t="s">
        <v>26</v>
      </c>
      <c r="S40" s="18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8" t="s">
        <v>26</v>
      </c>
      <c r="AA40" s="18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8" t="s">
        <v>26</v>
      </c>
      <c r="AI40" s="18"/>
      <c r="AJ40" s="1" t="s">
        <v>25</v>
      </c>
      <c r="AK40" s="1" t="s">
        <v>26</v>
      </c>
      <c r="AL40" s="1" t="s">
        <v>27</v>
      </c>
    </row>
    <row r="41" spans="15:38" ht="15" customHeight="1" thickBot="1" x14ac:dyDescent="0.4">
      <c r="O41" s="2" t="s">
        <v>28</v>
      </c>
      <c r="P41" s="32" t="s">
        <v>3</v>
      </c>
      <c r="Q41" s="33"/>
      <c r="R41" s="19"/>
      <c r="S41" s="19"/>
      <c r="T41" s="3"/>
      <c r="U41" s="3"/>
      <c r="V41" s="3"/>
      <c r="W41" s="2" t="s">
        <v>28</v>
      </c>
      <c r="X41" s="32" t="s">
        <v>3</v>
      </c>
      <c r="Y41" s="33"/>
      <c r="Z41" s="19"/>
      <c r="AA41" s="19"/>
      <c r="AB41" s="3"/>
      <c r="AC41" s="3"/>
      <c r="AD41" s="3"/>
      <c r="AE41" s="2" t="s">
        <v>28</v>
      </c>
      <c r="AF41" s="32" t="s">
        <v>3</v>
      </c>
      <c r="AG41" s="33"/>
      <c r="AH41" s="19"/>
      <c r="AI41" s="19"/>
      <c r="AJ41" s="3"/>
      <c r="AK41" s="3"/>
      <c r="AL41" s="3"/>
    </row>
    <row r="42" spans="15:38" ht="15" customHeight="1" thickBot="1" x14ac:dyDescent="0.4">
      <c r="O42" s="6" t="s">
        <v>44</v>
      </c>
      <c r="P42" s="30" t="s">
        <v>4</v>
      </c>
      <c r="Q42" s="31"/>
      <c r="R42" s="19"/>
      <c r="S42" s="19"/>
      <c r="T42" s="3"/>
      <c r="U42" s="3"/>
      <c r="V42" s="3"/>
      <c r="W42" s="6" t="s">
        <v>30</v>
      </c>
      <c r="X42" s="30" t="s">
        <v>4</v>
      </c>
      <c r="Y42" s="31"/>
      <c r="Z42" s="19"/>
      <c r="AA42" s="19"/>
      <c r="AB42" s="3"/>
      <c r="AC42" s="3"/>
      <c r="AD42" s="3"/>
      <c r="AE42" s="6" t="s">
        <v>45</v>
      </c>
      <c r="AF42" s="30" t="s">
        <v>4</v>
      </c>
      <c r="AG42" s="31"/>
      <c r="AH42" s="19"/>
      <c r="AI42" s="19"/>
      <c r="AJ42" s="3"/>
      <c r="AK42" s="3"/>
      <c r="AL42" s="3"/>
    </row>
    <row r="43" spans="15:38" ht="15" customHeight="1" thickBot="1" x14ac:dyDescent="0.4">
      <c r="P43" s="32" t="s">
        <v>5</v>
      </c>
      <c r="Q43" s="33"/>
      <c r="R43" s="19"/>
      <c r="S43" s="19"/>
      <c r="T43" s="3"/>
      <c r="U43" s="3"/>
      <c r="V43" s="3"/>
      <c r="X43" s="32" t="s">
        <v>5</v>
      </c>
      <c r="Y43" s="33"/>
      <c r="Z43" s="19"/>
      <c r="AA43" s="19"/>
      <c r="AB43" s="3"/>
      <c r="AC43" s="3"/>
      <c r="AD43" s="3"/>
      <c r="AF43" s="32" t="s">
        <v>5</v>
      </c>
      <c r="AG43" s="33"/>
      <c r="AH43" s="19"/>
      <c r="AI43" s="19"/>
      <c r="AJ43" s="3"/>
      <c r="AK43" s="3"/>
      <c r="AL43" s="3"/>
    </row>
    <row r="44" spans="15:38" ht="15" customHeight="1" thickBot="1" x14ac:dyDescent="0.4">
      <c r="P44" s="30" t="s">
        <v>6</v>
      </c>
      <c r="Q44" s="31"/>
      <c r="R44" s="19"/>
      <c r="S44" s="19"/>
      <c r="T44" s="3"/>
      <c r="U44" s="3"/>
      <c r="V44" s="3"/>
      <c r="X44" s="30" t="s">
        <v>6</v>
      </c>
      <c r="Y44" s="31"/>
      <c r="Z44" s="19"/>
      <c r="AA44" s="19"/>
      <c r="AB44" s="3"/>
      <c r="AC44" s="3"/>
      <c r="AD44" s="3"/>
      <c r="AF44" s="30" t="s">
        <v>6</v>
      </c>
      <c r="AG44" s="31"/>
      <c r="AH44" s="19"/>
      <c r="AI44" s="19"/>
      <c r="AJ44" s="3"/>
      <c r="AK44" s="3"/>
      <c r="AL44" s="3"/>
    </row>
    <row r="45" spans="15:38" ht="15" customHeight="1" thickBot="1" x14ac:dyDescent="0.4">
      <c r="P45" s="32" t="s">
        <v>7</v>
      </c>
      <c r="Q45" s="33"/>
      <c r="R45" s="19"/>
      <c r="S45" s="19"/>
      <c r="T45" s="3"/>
      <c r="U45" s="3"/>
      <c r="V45" s="3"/>
      <c r="X45" s="32" t="s">
        <v>7</v>
      </c>
      <c r="Y45" s="33"/>
      <c r="Z45" s="19"/>
      <c r="AA45" s="19"/>
      <c r="AB45" s="3"/>
      <c r="AC45" s="3"/>
      <c r="AD45" s="3"/>
      <c r="AF45" s="32" t="s">
        <v>7</v>
      </c>
      <c r="AG45" s="33"/>
      <c r="AH45" s="19"/>
      <c r="AI45" s="19"/>
      <c r="AJ45" s="3"/>
      <c r="AK45" s="3"/>
      <c r="AL45" s="3"/>
    </row>
    <row r="46" spans="15:38" ht="15" customHeight="1" thickBot="1" x14ac:dyDescent="0.4">
      <c r="P46" s="30" t="s">
        <v>8</v>
      </c>
      <c r="Q46" s="31"/>
      <c r="R46" s="19"/>
      <c r="S46" s="19"/>
      <c r="T46" s="3"/>
      <c r="U46" s="3"/>
      <c r="V46" s="3"/>
      <c r="X46" s="30" t="s">
        <v>8</v>
      </c>
      <c r="Y46" s="31"/>
      <c r="Z46" s="19"/>
      <c r="AA46" s="19"/>
      <c r="AB46" s="3"/>
      <c r="AC46" s="3"/>
      <c r="AD46" s="3"/>
      <c r="AF46" s="30" t="s">
        <v>8</v>
      </c>
      <c r="AG46" s="31"/>
      <c r="AH46" s="19"/>
      <c r="AI46" s="19"/>
      <c r="AJ46" s="3"/>
      <c r="AK46" s="3"/>
      <c r="AL46" s="3"/>
    </row>
    <row r="47" spans="15:38" ht="15" customHeight="1" thickBot="1" x14ac:dyDescent="0.4">
      <c r="P47" s="32" t="s">
        <v>9</v>
      </c>
      <c r="Q47" s="33"/>
      <c r="R47" s="19"/>
      <c r="S47" s="19"/>
      <c r="T47" s="3"/>
      <c r="U47" s="3"/>
      <c r="V47" s="3"/>
      <c r="X47" s="32" t="s">
        <v>9</v>
      </c>
      <c r="Y47" s="33"/>
      <c r="Z47" s="19"/>
      <c r="AA47" s="19"/>
      <c r="AB47" s="3"/>
      <c r="AC47" s="3"/>
      <c r="AD47" s="3"/>
      <c r="AF47" s="32" t="s">
        <v>9</v>
      </c>
      <c r="AG47" s="33"/>
      <c r="AH47" s="19"/>
      <c r="AI47" s="19"/>
      <c r="AJ47" s="3"/>
      <c r="AK47" s="3"/>
      <c r="AL47" s="3"/>
    </row>
    <row r="48" spans="15:38" ht="15" customHeight="1" thickBot="1" x14ac:dyDescent="0.4">
      <c r="P48" s="30" t="s">
        <v>10</v>
      </c>
      <c r="Q48" s="31"/>
      <c r="R48" s="19"/>
      <c r="S48" s="19"/>
      <c r="T48" s="3"/>
      <c r="U48" s="3"/>
      <c r="V48" s="3"/>
      <c r="X48" s="30" t="s">
        <v>10</v>
      </c>
      <c r="Y48" s="31"/>
      <c r="Z48" s="19"/>
      <c r="AA48" s="19"/>
      <c r="AB48" s="3"/>
      <c r="AC48" s="3"/>
      <c r="AD48" s="3"/>
      <c r="AF48" s="30" t="s">
        <v>10</v>
      </c>
      <c r="AG48" s="31"/>
      <c r="AH48" s="19"/>
      <c r="AI48" s="19"/>
      <c r="AJ48" s="3"/>
      <c r="AK48" s="3"/>
      <c r="AL48" s="3"/>
    </row>
    <row r="49" spans="16:38" ht="15" customHeight="1" thickBot="1" x14ac:dyDescent="0.4">
      <c r="P49" s="32" t="s">
        <v>11</v>
      </c>
      <c r="Q49" s="33"/>
      <c r="R49" s="19"/>
      <c r="S49" s="19"/>
      <c r="T49" s="3"/>
      <c r="U49" s="3"/>
      <c r="V49" s="3"/>
      <c r="X49" s="32" t="s">
        <v>11</v>
      </c>
      <c r="Y49" s="33"/>
      <c r="Z49" s="19"/>
      <c r="AA49" s="19"/>
      <c r="AB49" s="3"/>
      <c r="AC49" s="3"/>
      <c r="AD49" s="3"/>
      <c r="AF49" s="32" t="s">
        <v>11</v>
      </c>
      <c r="AG49" s="33"/>
      <c r="AH49" s="19"/>
      <c r="AI49" s="19"/>
      <c r="AJ49" s="3"/>
      <c r="AK49" s="3"/>
      <c r="AL49" s="3"/>
    </row>
    <row r="50" spans="16:38" ht="15" customHeight="1" thickBot="1" x14ac:dyDescent="0.4">
      <c r="P50" s="30" t="s">
        <v>12</v>
      </c>
      <c r="Q50" s="31"/>
      <c r="R50" s="19"/>
      <c r="S50" s="19"/>
      <c r="T50" s="3"/>
      <c r="U50" s="3"/>
      <c r="V50" s="3"/>
      <c r="X50" s="30" t="s">
        <v>12</v>
      </c>
      <c r="Y50" s="31"/>
      <c r="Z50" s="19"/>
      <c r="AA50" s="19"/>
      <c r="AB50" s="3"/>
      <c r="AC50" s="3"/>
      <c r="AD50" s="3"/>
      <c r="AF50" s="30" t="s">
        <v>12</v>
      </c>
      <c r="AG50" s="31"/>
      <c r="AH50" s="19"/>
      <c r="AI50" s="19"/>
      <c r="AJ50" s="3"/>
      <c r="AK50" s="3"/>
      <c r="AL50" s="3"/>
    </row>
    <row r="51" spans="16:38" ht="15" customHeight="1" thickBot="1" x14ac:dyDescent="0.4">
      <c r="P51" s="32" t="s">
        <v>13</v>
      </c>
      <c r="Q51" s="33"/>
      <c r="R51" s="19"/>
      <c r="S51" s="19"/>
      <c r="T51" s="3"/>
      <c r="U51" s="3"/>
      <c r="V51" s="3"/>
      <c r="X51" s="32" t="s">
        <v>13</v>
      </c>
      <c r="Y51" s="33"/>
      <c r="Z51" s="19"/>
      <c r="AA51" s="19"/>
      <c r="AB51" s="3"/>
      <c r="AC51" s="3"/>
      <c r="AD51" s="3"/>
      <c r="AF51" s="32" t="s">
        <v>13</v>
      </c>
      <c r="AG51" s="33"/>
      <c r="AH51" s="19"/>
      <c r="AI51" s="19"/>
      <c r="AJ51" s="3"/>
      <c r="AK51" s="3"/>
      <c r="AL51" s="3"/>
    </row>
    <row r="52" spans="16:38" ht="15" customHeight="1" thickBot="1" x14ac:dyDescent="0.4">
      <c r="P52" s="30" t="s">
        <v>14</v>
      </c>
      <c r="Q52" s="31"/>
      <c r="R52" s="19"/>
      <c r="S52" s="19"/>
      <c r="T52" s="3"/>
      <c r="U52" s="3"/>
      <c r="V52" s="3"/>
      <c r="X52" s="30" t="s">
        <v>14</v>
      </c>
      <c r="Y52" s="31"/>
      <c r="Z52" s="19"/>
      <c r="AA52" s="19"/>
      <c r="AB52" s="3"/>
      <c r="AC52" s="3"/>
      <c r="AD52" s="3"/>
      <c r="AF52" s="30" t="s">
        <v>14</v>
      </c>
      <c r="AG52" s="31"/>
      <c r="AH52" s="19"/>
      <c r="AI52" s="19"/>
      <c r="AJ52" s="3"/>
      <c r="AK52" s="3"/>
      <c r="AL52" s="3"/>
    </row>
    <row r="53" spans="16:38" ht="15" customHeight="1" thickBot="1" x14ac:dyDescent="0.4">
      <c r="P53" s="32" t="s">
        <v>15</v>
      </c>
      <c r="Q53" s="33"/>
      <c r="R53" s="19"/>
      <c r="S53" s="19"/>
      <c r="T53" s="3"/>
      <c r="U53" s="3"/>
      <c r="V53" s="3"/>
      <c r="X53" s="32" t="s">
        <v>15</v>
      </c>
      <c r="Y53" s="33"/>
      <c r="Z53" s="19"/>
      <c r="AA53" s="19"/>
      <c r="AB53" s="3"/>
      <c r="AC53" s="3"/>
      <c r="AD53" s="3"/>
      <c r="AF53" s="32" t="s">
        <v>15</v>
      </c>
      <c r="AG53" s="33"/>
      <c r="AH53" s="19"/>
      <c r="AI53" s="19"/>
      <c r="AJ53" s="3"/>
      <c r="AK53" s="3"/>
      <c r="AL53" s="3"/>
    </row>
    <row r="54" spans="16:38" ht="15" customHeight="1" thickBot="1" x14ac:dyDescent="0.4">
      <c r="P54" s="30" t="s">
        <v>16</v>
      </c>
      <c r="Q54" s="31"/>
      <c r="R54" s="19"/>
      <c r="S54" s="19"/>
      <c r="T54" s="3"/>
      <c r="U54" s="3"/>
      <c r="V54" s="3"/>
      <c r="X54" s="30" t="s">
        <v>16</v>
      </c>
      <c r="Y54" s="31"/>
      <c r="Z54" s="19"/>
      <c r="AA54" s="19"/>
      <c r="AB54" s="3"/>
      <c r="AC54" s="3"/>
      <c r="AD54" s="3"/>
      <c r="AF54" s="30" t="s">
        <v>16</v>
      </c>
      <c r="AG54" s="31"/>
      <c r="AH54" s="19"/>
      <c r="AI54" s="19"/>
      <c r="AJ54" s="3"/>
      <c r="AK54" s="3"/>
      <c r="AL54" s="3"/>
    </row>
    <row r="55" spans="16:38" ht="15" customHeight="1" thickBot="1" x14ac:dyDescent="0.4">
      <c r="P55" s="32" t="s">
        <v>17</v>
      </c>
      <c r="Q55" s="33"/>
      <c r="R55" s="19"/>
      <c r="S55" s="19"/>
      <c r="T55" s="3"/>
      <c r="U55" s="3"/>
      <c r="V55" s="3"/>
      <c r="X55" s="32" t="s">
        <v>17</v>
      </c>
      <c r="Y55" s="33"/>
      <c r="Z55" s="19"/>
      <c r="AA55" s="19"/>
      <c r="AB55" s="3"/>
      <c r="AC55" s="3"/>
      <c r="AD55" s="3"/>
      <c r="AF55" s="32" t="s">
        <v>17</v>
      </c>
      <c r="AG55" s="33"/>
      <c r="AH55" s="19"/>
      <c r="AI55" s="19"/>
      <c r="AJ55" s="3"/>
      <c r="AK55" s="3"/>
      <c r="AL55" s="3"/>
    </row>
    <row r="56" spans="16:38" ht="15" customHeight="1" thickBot="1" x14ac:dyDescent="0.4">
      <c r="P56" s="30" t="s">
        <v>18</v>
      </c>
      <c r="Q56" s="31"/>
      <c r="R56" s="19"/>
      <c r="S56" s="19"/>
      <c r="T56" s="3"/>
      <c r="U56" s="3"/>
      <c r="V56" s="3"/>
      <c r="X56" s="30" t="s">
        <v>18</v>
      </c>
      <c r="Y56" s="31"/>
      <c r="Z56" s="19"/>
      <c r="AA56" s="19"/>
      <c r="AB56" s="3"/>
      <c r="AC56" s="3"/>
      <c r="AD56" s="3"/>
      <c r="AF56" s="30" t="s">
        <v>18</v>
      </c>
      <c r="AG56" s="31"/>
      <c r="AH56" s="19"/>
      <c r="AI56" s="19"/>
      <c r="AJ56" s="3"/>
      <c r="AK56" s="3"/>
      <c r="AL56" s="3"/>
    </row>
    <row r="57" spans="16:38" ht="21.75" customHeight="1" thickBot="1" x14ac:dyDescent="0.4">
      <c r="P57" s="28" t="s">
        <v>31</v>
      </c>
      <c r="Q57" s="8" t="s">
        <v>46</v>
      </c>
      <c r="R57" s="15">
        <v>288.35798299999999</v>
      </c>
      <c r="S57" s="15">
        <f>R57*(36/33)</f>
        <v>314.57234509090904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59.200968000000003</v>
      </c>
      <c r="AA57" s="15">
        <f>Z57*(36/33)</f>
        <v>64.582874181818184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51.900745100000002</v>
      </c>
      <c r="AI57" s="15">
        <f>AH57*(36/33)</f>
        <v>56.618994654545453</v>
      </c>
      <c r="AJ57" s="3" t="s">
        <v>37</v>
      </c>
      <c r="AK57" s="3" t="s">
        <v>43</v>
      </c>
      <c r="AL57" s="3"/>
    </row>
    <row r="58" spans="16:38" ht="21.75" customHeight="1" thickBot="1" x14ac:dyDescent="0.4">
      <c r="P58" s="37"/>
      <c r="Q58" s="8" t="s">
        <v>47</v>
      </c>
      <c r="R58" s="15">
        <v>256.57844799999998</v>
      </c>
      <c r="S58" s="15">
        <f>R58*(36/33)</f>
        <v>279.90376145454542</v>
      </c>
      <c r="T58" s="3"/>
      <c r="U58" s="3"/>
      <c r="V58" s="3"/>
      <c r="X58" s="37"/>
      <c r="Y58" s="8" t="s">
        <v>47</v>
      </c>
      <c r="Z58" s="15">
        <v>60.086615999999999</v>
      </c>
      <c r="AA58" s="15">
        <f>Z58*(33/30)</f>
        <v>66.095277600000003</v>
      </c>
      <c r="AB58" s="3"/>
      <c r="AC58" s="3"/>
      <c r="AD58" s="3"/>
      <c r="AF58" s="37"/>
      <c r="AG58" s="8" t="s">
        <v>47</v>
      </c>
      <c r="AH58" s="15">
        <v>50.552838299999998</v>
      </c>
      <c r="AI58" s="15">
        <f>AH58*(33/30)</f>
        <v>55.608122130000005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261.72263600000002</v>
      </c>
      <c r="S59" s="16">
        <f t="shared" ref="S59:S75" si="5">R59*(36/33)</f>
        <v>285.51560290909089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60.456288000000001</v>
      </c>
      <c r="AA59" s="16">
        <f t="shared" ref="AA59:AA65" si="6">Z59*(36/33)</f>
        <v>65.952314181818181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51.965752500000001</v>
      </c>
      <c r="AI59" s="16">
        <f t="shared" ref="AI59:AI65" si="7">AH59*(36/33)</f>
        <v>56.689911818181812</v>
      </c>
      <c r="AJ59" s="13" t="s">
        <v>37</v>
      </c>
      <c r="AK59" s="3" t="s">
        <v>43</v>
      </c>
      <c r="AL59" s="3"/>
    </row>
    <row r="60" spans="16:38" ht="23.25" customHeight="1" thickBot="1" x14ac:dyDescent="0.4">
      <c r="P60" s="24" t="s">
        <v>32</v>
      </c>
      <c r="Q60" s="8" t="s">
        <v>46</v>
      </c>
      <c r="R60" s="15">
        <v>82.188000000000002</v>
      </c>
      <c r="S60" s="15">
        <f t="shared" si="5"/>
        <v>89.659636363636366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40.454051999999997</v>
      </c>
      <c r="AA60" s="15">
        <f t="shared" si="6"/>
        <v>44.131693090909081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26.972586</v>
      </c>
      <c r="AI60" s="15">
        <f t="shared" si="7"/>
        <v>29.424639272727269</v>
      </c>
      <c r="AJ60" s="3" t="s">
        <v>37</v>
      </c>
      <c r="AK60" s="3" t="s">
        <v>43</v>
      </c>
      <c r="AL60" s="3"/>
    </row>
    <row r="61" spans="16:38" ht="24.75" customHeight="1" thickBot="1" x14ac:dyDescent="0.4">
      <c r="P61" s="36"/>
      <c r="Q61" s="8" t="s">
        <v>47</v>
      </c>
      <c r="R61" s="15">
        <v>49.996639999999999</v>
      </c>
      <c r="S61" s="15">
        <f>R61*(36/33)</f>
        <v>54.541789090909084</v>
      </c>
      <c r="T61" s="3"/>
      <c r="U61" s="3"/>
      <c r="V61" s="3"/>
      <c r="X61" s="36"/>
      <c r="Y61" s="8" t="s">
        <v>47</v>
      </c>
      <c r="Z61" s="15">
        <v>38.779375999999999</v>
      </c>
      <c r="AA61" s="15">
        <f>Z61*(33/30)</f>
        <v>42.657313600000002</v>
      </c>
      <c r="AB61" s="3"/>
      <c r="AC61" s="3"/>
      <c r="AD61" s="3"/>
      <c r="AF61" s="36"/>
      <c r="AG61" s="8" t="s">
        <v>47</v>
      </c>
      <c r="AH61" s="15">
        <v>27.214580000000002</v>
      </c>
      <c r="AI61" s="15">
        <f>AH61*(33/30)</f>
        <v>29.936038000000003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51.350127999999998</v>
      </c>
      <c r="S62" s="16">
        <f t="shared" si="5"/>
        <v>56.01832145454545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38.897607999999998</v>
      </c>
      <c r="AA62" s="16">
        <f t="shared" si="6"/>
        <v>42.433754181818173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26.533467999999999</v>
      </c>
      <c r="AI62" s="16">
        <f t="shared" si="7"/>
        <v>28.94560145454545</v>
      </c>
      <c r="AJ62" s="13" t="s">
        <v>37</v>
      </c>
      <c r="AK62" s="3" t="s">
        <v>43</v>
      </c>
      <c r="AL62" s="3"/>
    </row>
    <row r="63" spans="16:38" ht="15" thickBot="1" x14ac:dyDescent="0.4">
      <c r="P63" s="24" t="s">
        <v>33</v>
      </c>
      <c r="Q63" s="8" t="s">
        <v>46</v>
      </c>
      <c r="R63" s="15">
        <v>212.38643200000001</v>
      </c>
      <c r="S63" s="15">
        <f t="shared" si="5"/>
        <v>231.69428945454544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42.339199999999998</v>
      </c>
      <c r="AA63" s="15">
        <f t="shared" si="6"/>
        <v>46.188218181818179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36.642259000000003</v>
      </c>
      <c r="AI63" s="15">
        <f t="shared" si="7"/>
        <v>39.973373454545452</v>
      </c>
      <c r="AJ63" s="3" t="s">
        <v>37</v>
      </c>
      <c r="AK63" s="3" t="s">
        <v>43</v>
      </c>
      <c r="AL63" s="3"/>
    </row>
    <row r="64" spans="16:38" ht="15" thickBot="1" x14ac:dyDescent="0.4">
      <c r="P64" s="36"/>
      <c r="Q64" s="8" t="s">
        <v>47</v>
      </c>
      <c r="R64" s="16">
        <v>214.47534400000001</v>
      </c>
      <c r="S64" s="16">
        <f>R64*(36/33)</f>
        <v>233.97310254545454</v>
      </c>
      <c r="T64" s="3"/>
      <c r="U64" s="3"/>
      <c r="V64" s="3"/>
      <c r="X64" s="36"/>
      <c r="Y64" s="8" t="s">
        <v>47</v>
      </c>
      <c r="Z64" s="15">
        <v>45.432935999999998</v>
      </c>
      <c r="AA64" s="15">
        <f>Z64*(33/30)</f>
        <v>49.976229600000003</v>
      </c>
      <c r="AB64" s="3"/>
      <c r="AC64" s="3"/>
      <c r="AD64" s="3"/>
      <c r="AF64" s="36"/>
      <c r="AG64" s="8" t="s">
        <v>47</v>
      </c>
      <c r="AH64" s="15">
        <v>35.802581500000002</v>
      </c>
      <c r="AI64" s="15">
        <f>AH64*(33/30)</f>
        <v>39.382839650000008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219.54096799999999</v>
      </c>
      <c r="S65" s="16">
        <f t="shared" si="5"/>
        <v>239.4992378181818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44.866036000000001</v>
      </c>
      <c r="AA65" s="16">
        <f t="shared" si="6"/>
        <v>48.944766545454542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39.893005500000001</v>
      </c>
      <c r="AI65" s="16">
        <f t="shared" si="7"/>
        <v>43.519642363636365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22">
        <v>295.08973800000001</v>
      </c>
      <c r="S66" s="22">
        <f>R66*(36/36)</f>
        <v>295.08973800000001</v>
      </c>
      <c r="T66" s="3" t="s">
        <v>37</v>
      </c>
      <c r="U66" s="3" t="s">
        <v>43</v>
      </c>
      <c r="V66" s="3"/>
      <c r="X66" s="26" t="s">
        <v>34</v>
      </c>
      <c r="Y66" s="27"/>
      <c r="Z66" s="22">
        <v>189.05129399999998</v>
      </c>
      <c r="AA66" s="22">
        <f>Z66*(36/36)</f>
        <v>189.05129399999998</v>
      </c>
      <c r="AB66" s="3" t="s">
        <v>37</v>
      </c>
      <c r="AC66" s="3" t="s">
        <v>43</v>
      </c>
      <c r="AD66" s="3"/>
      <c r="AF66" s="26" t="s">
        <v>34</v>
      </c>
      <c r="AG66" s="27"/>
      <c r="AH66" s="22">
        <v>139.4</v>
      </c>
      <c r="AI66" s="22">
        <f>AH66*(36/36)</f>
        <v>139.4</v>
      </c>
      <c r="AJ66" s="3" t="s">
        <v>37</v>
      </c>
      <c r="AK66" s="3" t="s">
        <v>43</v>
      </c>
      <c r="AL66" s="3"/>
    </row>
    <row r="67" spans="16:38" ht="15" thickBot="1" x14ac:dyDescent="0.4">
      <c r="P67" s="28" t="s">
        <v>21</v>
      </c>
      <c r="Q67" s="8" t="s">
        <v>46</v>
      </c>
      <c r="R67" s="15">
        <v>323.25397500000003</v>
      </c>
      <c r="S67" s="15">
        <f t="shared" si="5"/>
        <v>352.64069999999998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61.687144000000004</v>
      </c>
      <c r="AA67" s="15">
        <f t="shared" ref="AA67:AA75" si="8">Z67*(36/33)</f>
        <v>67.295066181818186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21">
        <v>52.150188200000002</v>
      </c>
      <c r="AI67" s="21">
        <f>AH67*(36/33)</f>
        <v>56.891114399999999</v>
      </c>
      <c r="AJ67" s="3" t="s">
        <v>37</v>
      </c>
      <c r="AK67" s="3" t="s">
        <v>43</v>
      </c>
      <c r="AL67" s="3"/>
    </row>
    <row r="68" spans="16:38" ht="15" thickBot="1" x14ac:dyDescent="0.4">
      <c r="P68" s="37"/>
      <c r="Q68" s="8" t="s">
        <v>47</v>
      </c>
      <c r="R68" s="15">
        <v>287.88623200000001</v>
      </c>
      <c r="S68" s="15">
        <f>R68*(36/33)</f>
        <v>314.0577076363636</v>
      </c>
      <c r="T68" s="3"/>
      <c r="U68" s="3"/>
      <c r="V68" s="3"/>
      <c r="X68" s="37"/>
      <c r="Y68" s="8" t="s">
        <v>47</v>
      </c>
      <c r="Z68" s="15">
        <v>62.589855999999997</v>
      </c>
      <c r="AA68" s="15">
        <f>Z68*(33/30)</f>
        <v>68.8488416</v>
      </c>
      <c r="AB68" s="3"/>
      <c r="AC68" s="3"/>
      <c r="AD68" s="3"/>
      <c r="AF68" s="37"/>
      <c r="AG68" s="8" t="s">
        <v>47</v>
      </c>
      <c r="AH68" s="21">
        <v>50.798014700000003</v>
      </c>
      <c r="AI68" s="21">
        <f>AH68*(33/30)</f>
        <v>55.87781617000001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293.33839999999998</v>
      </c>
      <c r="S69" s="16">
        <f t="shared" si="5"/>
        <v>320.00552727272725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62.990631999999998</v>
      </c>
      <c r="AA69" s="16">
        <f t="shared" si="8"/>
        <v>68.71705309090909</v>
      </c>
      <c r="AB69" s="13" t="s">
        <v>37</v>
      </c>
      <c r="AC69" s="3" t="s">
        <v>43</v>
      </c>
      <c r="AD69" s="3"/>
      <c r="AF69" s="29"/>
      <c r="AG69" s="4" t="s">
        <v>20</v>
      </c>
      <c r="AH69" s="23">
        <v>52.218535099999997</v>
      </c>
      <c r="AI69" s="23">
        <f t="shared" ref="AI69:AI75" si="9">AH69*(36/33)</f>
        <v>56.965674654545445</v>
      </c>
      <c r="AJ69" s="13" t="s">
        <v>37</v>
      </c>
      <c r="AK69" s="3" t="s">
        <v>43</v>
      </c>
      <c r="AL69" s="3"/>
    </row>
    <row r="70" spans="16:38" ht="15" thickBot="1" x14ac:dyDescent="0.4">
      <c r="P70" s="28" t="s">
        <v>22</v>
      </c>
      <c r="Q70" s="8" t="s">
        <v>46</v>
      </c>
      <c r="R70" s="15">
        <v>92.367903999999996</v>
      </c>
      <c r="S70" s="15">
        <f t="shared" si="5"/>
        <v>100.76498618181817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37.953764</v>
      </c>
      <c r="AA70" s="15">
        <f t="shared" si="8"/>
        <v>41.404106181818179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21">
        <v>26.337492000000001</v>
      </c>
      <c r="AI70" s="21">
        <f t="shared" si="9"/>
        <v>28.731809454545452</v>
      </c>
      <c r="AJ70" s="3" t="s">
        <v>37</v>
      </c>
      <c r="AK70" s="3" t="s">
        <v>43</v>
      </c>
      <c r="AL70" s="3"/>
    </row>
    <row r="71" spans="16:38" ht="15" thickBot="1" x14ac:dyDescent="0.4">
      <c r="P71" s="37"/>
      <c r="Q71" s="8" t="s">
        <v>47</v>
      </c>
      <c r="R71" s="15">
        <v>55.786320000000003</v>
      </c>
      <c r="S71" s="15">
        <f>R71*(36/33)</f>
        <v>60.857803636363634</v>
      </c>
      <c r="T71" s="3"/>
      <c r="U71" s="3"/>
      <c r="V71" s="3"/>
      <c r="X71" s="37"/>
      <c r="Y71" s="8" t="s">
        <v>47</v>
      </c>
      <c r="Z71" s="15">
        <v>41.249907999999998</v>
      </c>
      <c r="AA71" s="15">
        <f>Z71*(33/30)</f>
        <v>45.374898800000004</v>
      </c>
      <c r="AB71" s="3"/>
      <c r="AC71" s="3"/>
      <c r="AD71" s="3"/>
      <c r="AF71" s="37"/>
      <c r="AG71" s="8" t="s">
        <v>47</v>
      </c>
      <c r="AH71" s="21">
        <v>28.110828000000001</v>
      </c>
      <c r="AI71" s="21">
        <f>AH71*(33/30)</f>
        <v>30.921910800000003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57.256328000000003</v>
      </c>
      <c r="S72" s="16">
        <f t="shared" si="5"/>
        <v>62.461448727272725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41.405487999999998</v>
      </c>
      <c r="AA72" s="16">
        <f t="shared" si="8"/>
        <v>45.169623272727264</v>
      </c>
      <c r="AB72" s="13" t="s">
        <v>37</v>
      </c>
      <c r="AC72" s="3" t="s">
        <v>43</v>
      </c>
      <c r="AD72" s="3"/>
      <c r="AF72" s="29"/>
      <c r="AG72" s="4" t="s">
        <v>20</v>
      </c>
      <c r="AH72" s="23">
        <v>27.449956</v>
      </c>
      <c r="AI72" s="23">
        <f t="shared" si="9"/>
        <v>29.945406545454542</v>
      </c>
      <c r="AJ72" s="13" t="s">
        <v>37</v>
      </c>
      <c r="AK72" s="3" t="s">
        <v>43</v>
      </c>
      <c r="AL72" s="3"/>
    </row>
    <row r="73" spans="16:38" ht="15" thickBot="1" x14ac:dyDescent="0.4">
      <c r="P73" s="24" t="s">
        <v>35</v>
      </c>
      <c r="Q73" s="8" t="s">
        <v>46</v>
      </c>
      <c r="R73" s="15">
        <v>237.90601599999999</v>
      </c>
      <c r="S73" s="15">
        <f t="shared" si="5"/>
        <v>259.53383563636362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38.940151999999998</v>
      </c>
      <c r="AA73" s="15">
        <f t="shared" si="8"/>
        <v>42.48016581818181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21">
        <v>36.793350500000003</v>
      </c>
      <c r="AI73" s="21">
        <f t="shared" si="9"/>
        <v>40.138200545454545</v>
      </c>
      <c r="AJ73" s="3" t="s">
        <v>37</v>
      </c>
      <c r="AK73" s="3" t="s">
        <v>43</v>
      </c>
      <c r="AL73" s="3"/>
    </row>
    <row r="74" spans="16:38" ht="15" thickBot="1" x14ac:dyDescent="0.4">
      <c r="P74" s="36"/>
      <c r="Q74" s="8" t="s">
        <v>47</v>
      </c>
      <c r="R74" s="15">
        <v>240.574352</v>
      </c>
      <c r="S74" s="15">
        <f>R74*(36/33)</f>
        <v>262.44474763636362</v>
      </c>
      <c r="T74" s="3"/>
      <c r="U74" s="3"/>
      <c r="V74" s="3"/>
      <c r="X74" s="36"/>
      <c r="Y74" s="8" t="s">
        <v>47</v>
      </c>
      <c r="Z74" s="15">
        <v>48.844028000000002</v>
      </c>
      <c r="AA74" s="15">
        <f>Z74*(33/30)</f>
        <v>53.728430800000005</v>
      </c>
      <c r="AB74" s="3"/>
      <c r="AC74" s="3"/>
      <c r="AD74" s="3"/>
      <c r="AF74" s="36"/>
      <c r="AG74" s="8" t="s">
        <v>47</v>
      </c>
      <c r="AH74" s="21">
        <v>35.894967000000001</v>
      </c>
      <c r="AI74" s="21">
        <f>AH74*(33/30)</f>
        <v>39.484463700000006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246.13828000000001</v>
      </c>
      <c r="S75" s="16">
        <f t="shared" si="5"/>
        <v>268.51448727272725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48.323403999999996</v>
      </c>
      <c r="AA75" s="16">
        <f t="shared" si="8"/>
        <v>52.716440727272719</v>
      </c>
      <c r="AB75" s="13" t="s">
        <v>37</v>
      </c>
      <c r="AC75" s="3" t="s">
        <v>43</v>
      </c>
      <c r="AD75" s="3"/>
      <c r="AF75" s="25"/>
      <c r="AG75" s="4" t="s">
        <v>20</v>
      </c>
      <c r="AH75" s="23">
        <v>40.056729500000003</v>
      </c>
      <c r="AI75" s="23">
        <f t="shared" si="9"/>
        <v>43.698250363636362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22">
        <v>315.70313599999997</v>
      </c>
      <c r="S76" s="22">
        <f>R76*(36/36)</f>
        <v>315.70313599999997</v>
      </c>
      <c r="T76" s="3" t="s">
        <v>37</v>
      </c>
      <c r="U76" s="3" t="s">
        <v>43</v>
      </c>
      <c r="V76" s="3"/>
      <c r="X76" s="26" t="s">
        <v>23</v>
      </c>
      <c r="Y76" s="27"/>
      <c r="Z76" s="22">
        <v>198.49409399999999</v>
      </c>
      <c r="AA76" s="22">
        <f>Z76*(36/36)</f>
        <v>198.49409399999999</v>
      </c>
      <c r="AB76" s="3" t="s">
        <v>37</v>
      </c>
      <c r="AC76" s="3" t="s">
        <v>43</v>
      </c>
      <c r="AD76" s="3"/>
      <c r="AF76" s="26" t="s">
        <v>23</v>
      </c>
      <c r="AG76" s="27"/>
      <c r="AH76" s="22">
        <v>140.80000000000001</v>
      </c>
      <c r="AI76" s="22">
        <f>AH76*(36/36)</f>
        <v>140.80000000000001</v>
      </c>
      <c r="AJ76" s="3" t="s">
        <v>37</v>
      </c>
      <c r="AK76" s="3" t="s">
        <v>43</v>
      </c>
      <c r="AL76" s="3"/>
    </row>
  </sheetData>
  <mergeCells count="150">
    <mergeCell ref="P1:Q1"/>
    <mergeCell ref="X1:Y1"/>
    <mergeCell ref="AF1:AG1"/>
    <mergeCell ref="P2:Q2"/>
    <mergeCell ref="X2:Y2"/>
    <mergeCell ref="AF2:AG2"/>
    <mergeCell ref="P5:Q5"/>
    <mergeCell ref="X5:Y5"/>
    <mergeCell ref="AF5:AG5"/>
    <mergeCell ref="P6:Q6"/>
    <mergeCell ref="X6:Y6"/>
    <mergeCell ref="AF6:AG6"/>
    <mergeCell ref="P3:Q3"/>
    <mergeCell ref="X3:Y3"/>
    <mergeCell ref="AF3:AG3"/>
    <mergeCell ref="P4:Q4"/>
    <mergeCell ref="X4:Y4"/>
    <mergeCell ref="AF4:AG4"/>
    <mergeCell ref="P9:Q9"/>
    <mergeCell ref="X9:Y9"/>
    <mergeCell ref="AF9:AG9"/>
    <mergeCell ref="P10:Q10"/>
    <mergeCell ref="X10:Y10"/>
    <mergeCell ref="AF10:AG10"/>
    <mergeCell ref="P7:Q7"/>
    <mergeCell ref="X7:Y7"/>
    <mergeCell ref="AF7:AG7"/>
    <mergeCell ref="P8:Q8"/>
    <mergeCell ref="X8:Y8"/>
    <mergeCell ref="AF8:AG8"/>
    <mergeCell ref="P13:Q13"/>
    <mergeCell ref="X13:Y13"/>
    <mergeCell ref="AF13:AG13"/>
    <mergeCell ref="P14:Q14"/>
    <mergeCell ref="X14:Y14"/>
    <mergeCell ref="AF14:AG14"/>
    <mergeCell ref="P11:Q11"/>
    <mergeCell ref="X11:Y11"/>
    <mergeCell ref="AF11:AG11"/>
    <mergeCell ref="P12:Q12"/>
    <mergeCell ref="X12:Y12"/>
    <mergeCell ref="AF12:AG12"/>
    <mergeCell ref="P17:Q17"/>
    <mergeCell ref="X17:Y17"/>
    <mergeCell ref="AF17:AG17"/>
    <mergeCell ref="P18:P20"/>
    <mergeCell ref="X18:X20"/>
    <mergeCell ref="AF18:AF20"/>
    <mergeCell ref="P15:Q15"/>
    <mergeCell ref="X15:Y15"/>
    <mergeCell ref="AF15:AG15"/>
    <mergeCell ref="P16:Q16"/>
    <mergeCell ref="X16:Y16"/>
    <mergeCell ref="AF16:AG16"/>
    <mergeCell ref="P27:Q27"/>
    <mergeCell ref="X27:Y27"/>
    <mergeCell ref="AF27:AG27"/>
    <mergeCell ref="P28:P30"/>
    <mergeCell ref="X28:X30"/>
    <mergeCell ref="AF28:AF30"/>
    <mergeCell ref="P21:P23"/>
    <mergeCell ref="X21:X23"/>
    <mergeCell ref="AF21:AF23"/>
    <mergeCell ref="P24:P26"/>
    <mergeCell ref="X24:X26"/>
    <mergeCell ref="AF24:AF26"/>
    <mergeCell ref="P37:Q37"/>
    <mergeCell ref="X37:Y37"/>
    <mergeCell ref="AF37:AG37"/>
    <mergeCell ref="P40:Q40"/>
    <mergeCell ref="X40:Y40"/>
    <mergeCell ref="AF40:AG40"/>
    <mergeCell ref="P31:P33"/>
    <mergeCell ref="X31:X33"/>
    <mergeCell ref="AF31:AF33"/>
    <mergeCell ref="P34:P36"/>
    <mergeCell ref="X34:X36"/>
    <mergeCell ref="AF34:AF36"/>
    <mergeCell ref="P43:Q43"/>
    <mergeCell ref="X43:Y43"/>
    <mergeCell ref="AF43:AG43"/>
    <mergeCell ref="P44:Q44"/>
    <mergeCell ref="X44:Y44"/>
    <mergeCell ref="AF44:AG44"/>
    <mergeCell ref="P41:Q41"/>
    <mergeCell ref="X41:Y41"/>
    <mergeCell ref="AF41:AG41"/>
    <mergeCell ref="P42:Q42"/>
    <mergeCell ref="X42:Y42"/>
    <mergeCell ref="AF42:AG42"/>
    <mergeCell ref="P47:Q47"/>
    <mergeCell ref="X47:Y47"/>
    <mergeCell ref="AF47:AG47"/>
    <mergeCell ref="P48:Q48"/>
    <mergeCell ref="X48:Y48"/>
    <mergeCell ref="AF48:AG48"/>
    <mergeCell ref="P45:Q45"/>
    <mergeCell ref="X45:Y45"/>
    <mergeCell ref="AF45:AG45"/>
    <mergeCell ref="P46:Q46"/>
    <mergeCell ref="X46:Y46"/>
    <mergeCell ref="AF46:AG46"/>
    <mergeCell ref="P51:Q51"/>
    <mergeCell ref="X51:Y51"/>
    <mergeCell ref="AF51:AG51"/>
    <mergeCell ref="P52:Q52"/>
    <mergeCell ref="X52:Y52"/>
    <mergeCell ref="AF52:AG52"/>
    <mergeCell ref="P49:Q49"/>
    <mergeCell ref="X49:Y49"/>
    <mergeCell ref="AF49:AG49"/>
    <mergeCell ref="P50:Q50"/>
    <mergeCell ref="X50:Y50"/>
    <mergeCell ref="AF50:AG50"/>
    <mergeCell ref="P55:Q55"/>
    <mergeCell ref="X55:Y55"/>
    <mergeCell ref="AF55:AG55"/>
    <mergeCell ref="P56:Q56"/>
    <mergeCell ref="X56:Y56"/>
    <mergeCell ref="AF56:AG56"/>
    <mergeCell ref="P53:Q53"/>
    <mergeCell ref="X53:Y53"/>
    <mergeCell ref="AF53:AG53"/>
    <mergeCell ref="P54:Q54"/>
    <mergeCell ref="X54:Y54"/>
    <mergeCell ref="AF54:AG54"/>
    <mergeCell ref="P63:P65"/>
    <mergeCell ref="X63:X65"/>
    <mergeCell ref="AF63:AF65"/>
    <mergeCell ref="P66:Q66"/>
    <mergeCell ref="X66:Y66"/>
    <mergeCell ref="AF66:AG66"/>
    <mergeCell ref="P57:P59"/>
    <mergeCell ref="X57:X59"/>
    <mergeCell ref="AF57:AF59"/>
    <mergeCell ref="P60:P62"/>
    <mergeCell ref="X60:X62"/>
    <mergeCell ref="AF60:AF62"/>
    <mergeCell ref="P73:P75"/>
    <mergeCell ref="X73:X75"/>
    <mergeCell ref="AF73:AF75"/>
    <mergeCell ref="P76:Q76"/>
    <mergeCell ref="X76:Y76"/>
    <mergeCell ref="AF76:AG76"/>
    <mergeCell ref="P67:P69"/>
    <mergeCell ref="X67:X69"/>
    <mergeCell ref="AF67:AF69"/>
    <mergeCell ref="P70:P72"/>
    <mergeCell ref="X70:X72"/>
    <mergeCell ref="AF70:AF72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D6D0-2D51-44E2-A71F-54DFC7D64088}">
  <sheetPr>
    <tabColor theme="7" tint="0.79998168889431442"/>
  </sheetPr>
  <dimension ref="O1:AL76"/>
  <sheetViews>
    <sheetView tabSelected="1" workbookViewId="0">
      <selection activeCell="K20" sqref="K20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5" max="15" width="7.81640625" bestFit="1" customWidth="1"/>
    <col min="16" max="16" width="27.81640625" customWidth="1"/>
    <col min="17" max="17" width="17.7265625" customWidth="1"/>
    <col min="18" max="18" width="11.54296875" bestFit="1" customWidth="1"/>
    <col min="24" max="24" width="26.1796875" customWidth="1"/>
    <col min="25" max="25" width="19.1796875" customWidth="1"/>
    <col min="26" max="26" width="11.54296875" bestFit="1" customWidth="1"/>
    <col min="32" max="32" width="26.1796875" customWidth="1"/>
    <col min="33" max="33" width="17.542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26</v>
      </c>
      <c r="S1" s="1"/>
      <c r="T1" s="1"/>
      <c r="U1" s="1"/>
      <c r="V1" s="1"/>
      <c r="X1" s="34" t="s">
        <v>0</v>
      </c>
      <c r="Y1" s="35"/>
      <c r="Z1" s="1" t="s">
        <v>26</v>
      </c>
      <c r="AA1" s="1"/>
      <c r="AB1" s="1"/>
      <c r="AC1" s="1"/>
      <c r="AD1" s="1"/>
      <c r="AF1" s="34" t="s">
        <v>0</v>
      </c>
      <c r="AG1" s="35"/>
      <c r="AH1" s="1" t="s">
        <v>26</v>
      </c>
      <c r="AI1" s="1"/>
      <c r="AJ1" s="1"/>
      <c r="AK1" s="1"/>
      <c r="AL1" s="1"/>
    </row>
    <row r="2" spans="15:38" ht="15" customHeight="1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customHeight="1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customHeight="1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customHeight="1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customHeight="1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customHeight="1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customHeight="1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customHeight="1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customHeight="1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customHeight="1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customHeight="1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customHeight="1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customHeight="1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customHeight="1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customHeight="1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customHeight="1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thickBot="1" x14ac:dyDescent="0.4">
      <c r="P18" s="28" t="s">
        <v>31</v>
      </c>
      <c r="Q18" s="8" t="s">
        <v>46</v>
      </c>
      <c r="R18" s="21">
        <v>216.2</v>
      </c>
      <c r="S18" s="21">
        <f>R18*(33/30)</f>
        <v>237.82</v>
      </c>
      <c r="T18" s="5" t="s">
        <v>37</v>
      </c>
      <c r="U18" s="5" t="s">
        <v>43</v>
      </c>
      <c r="V18" s="5"/>
      <c r="X18" s="28" t="s">
        <v>31</v>
      </c>
      <c r="Y18" s="8" t="s">
        <v>19</v>
      </c>
      <c r="Z18" s="15">
        <v>81.690166000000005</v>
      </c>
      <c r="AA18" s="15">
        <f>Z18*(33/30)</f>
        <v>89.859182600000011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21">
        <v>67.099999999999994</v>
      </c>
      <c r="AI18" s="21">
        <f>AH18*(33/30)</f>
        <v>73.81</v>
      </c>
      <c r="AJ18" s="5" t="s">
        <v>37</v>
      </c>
      <c r="AK18" s="5" t="s">
        <v>43</v>
      </c>
      <c r="AL18" s="5"/>
    </row>
    <row r="19" spans="16:38" ht="15" thickBot="1" x14ac:dyDescent="0.4">
      <c r="P19" s="37"/>
      <c r="Q19" s="8" t="s">
        <v>47</v>
      </c>
      <c r="R19" s="15">
        <v>257.43662</v>
      </c>
      <c r="S19" s="15">
        <f>R19*(33/30)</f>
        <v>283.18028200000003</v>
      </c>
      <c r="T19" s="5"/>
      <c r="U19" s="5"/>
      <c r="V19" s="5"/>
      <c r="X19" s="37"/>
      <c r="Y19" s="8" t="s">
        <v>47</v>
      </c>
      <c r="Z19" s="15">
        <v>80.486699999999999</v>
      </c>
      <c r="AA19" s="15">
        <f>Z19*(33/30)</f>
        <v>88.53537</v>
      </c>
      <c r="AB19" s="5"/>
      <c r="AC19" s="5"/>
      <c r="AD19" s="5"/>
      <c r="AF19" s="37"/>
      <c r="AG19" s="8" t="s">
        <v>47</v>
      </c>
      <c r="AH19" s="15">
        <v>52.065058499999999</v>
      </c>
      <c r="AI19" s="15">
        <f>AH19*(33/30)</f>
        <v>57.271564350000006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257.759388</v>
      </c>
      <c r="S20" s="16">
        <f>R20*(33/30)</f>
        <v>283.53532680000001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80.939694000000003</v>
      </c>
      <c r="AA20" s="16">
        <f>Z20*(33/30)</f>
        <v>89.033663400000009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52.011187499999998</v>
      </c>
      <c r="AI20" s="16">
        <f>AH20*(33/30)</f>
        <v>57.212306250000005</v>
      </c>
      <c r="AJ20" s="12" t="s">
        <v>37</v>
      </c>
      <c r="AK20" s="5" t="s">
        <v>43</v>
      </c>
      <c r="AL20" s="5"/>
    </row>
    <row r="21" spans="16:38" ht="15" thickBot="1" x14ac:dyDescent="0.4">
      <c r="P21" s="24" t="s">
        <v>32</v>
      </c>
      <c r="Q21" s="8" t="s">
        <v>46</v>
      </c>
      <c r="R21" s="21">
        <v>59.9</v>
      </c>
      <c r="S21" s="21">
        <f t="shared" ref="S21:S36" si="0">R21*(33/30)</f>
        <v>65.89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46.638424000000001</v>
      </c>
      <c r="AA21" s="15">
        <f t="shared" ref="AA21:AA26" si="1">Z21*(33/30)</f>
        <v>51.302266400000008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21">
        <v>25.641148000000001</v>
      </c>
      <c r="AI21" s="21">
        <f t="shared" ref="AI21:AI26" si="2">AH21*(33/30)</f>
        <v>28.205262800000003</v>
      </c>
      <c r="AJ21" s="5" t="s">
        <v>37</v>
      </c>
      <c r="AK21" s="5" t="s">
        <v>43</v>
      </c>
      <c r="AL21" s="5"/>
    </row>
    <row r="22" spans="16:38" ht="15" thickBot="1" x14ac:dyDescent="0.4">
      <c r="P22" s="36"/>
      <c r="Q22" s="8" t="s">
        <v>47</v>
      </c>
      <c r="R22" s="15">
        <v>70.898492000000005</v>
      </c>
      <c r="S22" s="15">
        <f>R22*(33/30)</f>
        <v>77.988341200000008</v>
      </c>
      <c r="T22" s="5"/>
      <c r="U22" s="5"/>
      <c r="V22" s="5"/>
      <c r="X22" s="36"/>
      <c r="Y22" s="8" t="s">
        <v>47</v>
      </c>
      <c r="Z22" s="15">
        <v>34.015403999999997</v>
      </c>
      <c r="AA22" s="15">
        <f>Z22*(33/30)</f>
        <v>37.416944399999998</v>
      </c>
      <c r="AB22" s="5"/>
      <c r="AC22" s="5"/>
      <c r="AD22" s="5"/>
      <c r="AF22" s="36"/>
      <c r="AG22" s="8" t="s">
        <v>47</v>
      </c>
      <c r="AH22" s="15">
        <v>19.599053000000001</v>
      </c>
      <c r="AI22" s="15">
        <f>AH22*(33/30)</f>
        <v>21.558958300000004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71.097768000000002</v>
      </c>
      <c r="S23" s="16">
        <f t="shared" si="0"/>
        <v>78.207544800000008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36.353670000000001</v>
      </c>
      <c r="AA23" s="16">
        <f t="shared" si="1"/>
        <v>39.989037000000003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22.550618</v>
      </c>
      <c r="AI23" s="16">
        <f t="shared" si="2"/>
        <v>24.805679800000004</v>
      </c>
      <c r="AJ23" s="12" t="s">
        <v>37</v>
      </c>
      <c r="AK23" s="5" t="s">
        <v>43</v>
      </c>
      <c r="AL23" s="5"/>
    </row>
    <row r="24" spans="16:38" ht="15" thickBot="1" x14ac:dyDescent="0.4">
      <c r="P24" s="24" t="s">
        <v>33</v>
      </c>
      <c r="Q24" s="8" t="s">
        <v>46</v>
      </c>
      <c r="R24" s="21">
        <v>228.3</v>
      </c>
      <c r="S24" s="21">
        <f t="shared" si="0"/>
        <v>251.13000000000002</v>
      </c>
      <c r="T24" s="5" t="s">
        <v>37</v>
      </c>
      <c r="U24" s="5" t="s">
        <v>43</v>
      </c>
      <c r="V24" s="5"/>
      <c r="X24" s="24" t="s">
        <v>33</v>
      </c>
      <c r="Y24" s="8" t="s">
        <v>46</v>
      </c>
      <c r="Z24" s="15">
        <v>50.283734000000003</v>
      </c>
      <c r="AA24" s="15">
        <f t="shared" si="1"/>
        <v>55.312107400000009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21">
        <v>34.799298999999998</v>
      </c>
      <c r="AI24" s="21">
        <f t="shared" si="2"/>
        <v>38.2792289</v>
      </c>
      <c r="AJ24" s="5" t="s">
        <v>37</v>
      </c>
      <c r="AK24" s="5" t="s">
        <v>43</v>
      </c>
      <c r="AL24" s="5"/>
    </row>
    <row r="25" spans="16:38" ht="15" thickBot="1" x14ac:dyDescent="0.4">
      <c r="P25" s="36"/>
      <c r="Q25" s="8" t="s">
        <v>47</v>
      </c>
      <c r="R25" s="15">
        <v>184.48921200000001</v>
      </c>
      <c r="S25" s="15">
        <f>R25*(33/30)</f>
        <v>202.93813320000004</v>
      </c>
      <c r="T25" s="5"/>
      <c r="U25" s="5"/>
      <c r="V25" s="5"/>
      <c r="X25" s="36"/>
      <c r="Y25" s="8" t="s">
        <v>47</v>
      </c>
      <c r="Z25" s="15">
        <v>50.820504</v>
      </c>
      <c r="AA25" s="15">
        <f>Z25*(33/30)</f>
        <v>55.902554400000007</v>
      </c>
      <c r="AB25" s="5"/>
      <c r="AC25" s="5"/>
      <c r="AD25" s="5"/>
      <c r="AF25" s="36"/>
      <c r="AG25" s="8" t="s">
        <v>47</v>
      </c>
      <c r="AH25" s="15">
        <v>29.879916000000001</v>
      </c>
      <c r="AI25" s="15">
        <f>AH25*(33/30)</f>
        <v>32.867907600000002</v>
      </c>
      <c r="AJ25" s="5" t="s">
        <v>37</v>
      </c>
      <c r="AK25" s="5"/>
      <c r="AL25" s="5"/>
    </row>
    <row r="26" spans="16:38" ht="15" thickBot="1" x14ac:dyDescent="0.4">
      <c r="P26" s="25"/>
      <c r="Q26" s="4" t="s">
        <v>20</v>
      </c>
      <c r="R26" s="16">
        <v>184.474186</v>
      </c>
      <c r="S26" s="16">
        <f t="shared" si="0"/>
        <v>202.92160460000002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52.672068000000003</v>
      </c>
      <c r="AA26" s="16">
        <f t="shared" si="1"/>
        <v>57.939274800000007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31.6928795</v>
      </c>
      <c r="AI26" s="16">
        <f t="shared" si="2"/>
        <v>34.862167450000001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22">
        <v>257.69429100000002</v>
      </c>
      <c r="S27" s="22">
        <f>R27*(33/33)</f>
        <v>257.69429100000002</v>
      </c>
      <c r="T27" s="5" t="s">
        <v>37</v>
      </c>
      <c r="U27" s="5" t="s">
        <v>43</v>
      </c>
      <c r="V27" s="5"/>
      <c r="X27" s="26" t="s">
        <v>34</v>
      </c>
      <c r="Y27" s="27"/>
      <c r="Z27" s="22">
        <v>163.51737739999999</v>
      </c>
      <c r="AA27" s="22">
        <f>Z27*(33/33)</f>
        <v>163.51737739999999</v>
      </c>
      <c r="AB27" s="5" t="s">
        <v>37</v>
      </c>
      <c r="AC27" s="5" t="s">
        <v>43</v>
      </c>
      <c r="AD27" s="5"/>
      <c r="AF27" s="26" t="s">
        <v>34</v>
      </c>
      <c r="AG27" s="27"/>
      <c r="AH27" s="22">
        <v>142.30000000000001</v>
      </c>
      <c r="AI27" s="22">
        <f>AH27</f>
        <v>142.30000000000001</v>
      </c>
      <c r="AJ27" s="5" t="s">
        <v>37</v>
      </c>
      <c r="AK27" s="5" t="s">
        <v>43</v>
      </c>
      <c r="AL27" s="5"/>
    </row>
    <row r="28" spans="16:38" ht="15" thickBot="1" x14ac:dyDescent="0.4">
      <c r="P28" s="28" t="s">
        <v>21</v>
      </c>
      <c r="Q28" s="8" t="s">
        <v>46</v>
      </c>
      <c r="R28" s="21">
        <v>245.4</v>
      </c>
      <c r="S28" s="21">
        <f t="shared" si="0"/>
        <v>269.94000000000005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86.452020000000005</v>
      </c>
      <c r="AA28" s="15">
        <f t="shared" ref="AA28:AA36" si="3">Z28*(33/30)</f>
        <v>95.097222000000016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21">
        <v>67.8</v>
      </c>
      <c r="AI28" s="21">
        <f t="shared" ref="AI28:AI36" si="4">AH28*(33/30)</f>
        <v>74.58</v>
      </c>
      <c r="AJ28" s="5" t="s">
        <v>37</v>
      </c>
      <c r="AK28" s="5" t="s">
        <v>43</v>
      </c>
      <c r="AL28" s="5"/>
    </row>
    <row r="29" spans="16:38" ht="15" thickBot="1" x14ac:dyDescent="0.4">
      <c r="P29" s="37"/>
      <c r="Q29" s="8" t="s">
        <v>47</v>
      </c>
      <c r="R29" s="15">
        <v>289.98902399999997</v>
      </c>
      <c r="S29" s="15">
        <f>R29*(33/30)</f>
        <v>318.98792639999999</v>
      </c>
      <c r="T29" s="5"/>
      <c r="U29" s="5"/>
      <c r="V29" s="5"/>
      <c r="X29" s="37"/>
      <c r="Y29" s="8" t="s">
        <v>47</v>
      </c>
      <c r="Z29" s="15">
        <v>85.794077999999999</v>
      </c>
      <c r="AA29" s="15">
        <f>Z29*(33/30)</f>
        <v>94.373485800000012</v>
      </c>
      <c r="AB29" s="5"/>
      <c r="AC29" s="5"/>
      <c r="AD29" s="5"/>
      <c r="AF29" s="37"/>
      <c r="AG29" s="8" t="s">
        <v>47</v>
      </c>
      <c r="AH29" s="15">
        <v>52.198680500000002</v>
      </c>
      <c r="AI29" s="15">
        <f>AH29*(33/30)</f>
        <v>57.418548550000004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290.70481999999998</v>
      </c>
      <c r="S30" s="16">
        <f t="shared" si="0"/>
        <v>319.77530200000001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86.289618000000004</v>
      </c>
      <c r="AA30" s="16">
        <f t="shared" si="3"/>
        <v>94.918579800000018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52.147449999999999</v>
      </c>
      <c r="AI30" s="16">
        <f t="shared" si="4"/>
        <v>57.362195000000007</v>
      </c>
      <c r="AJ30" s="12" t="s">
        <v>37</v>
      </c>
      <c r="AK30" s="5" t="s">
        <v>43</v>
      </c>
      <c r="AL30" s="5"/>
    </row>
    <row r="31" spans="16:38" ht="15" thickBot="1" x14ac:dyDescent="0.4">
      <c r="P31" s="28" t="s">
        <v>22</v>
      </c>
      <c r="Q31" s="8" t="s">
        <v>46</v>
      </c>
      <c r="R31" s="21">
        <v>66.900000000000006</v>
      </c>
      <c r="S31" s="21">
        <f t="shared" si="0"/>
        <v>73.590000000000018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43.454135999999998</v>
      </c>
      <c r="AA31" s="15">
        <f t="shared" si="3"/>
        <v>47.799549599999999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21">
        <v>26.026289999999999</v>
      </c>
      <c r="AI31" s="21">
        <f t="shared" si="4"/>
        <v>28.628919000000003</v>
      </c>
      <c r="AJ31" s="5" t="s">
        <v>37</v>
      </c>
      <c r="AK31" s="5" t="s">
        <v>43</v>
      </c>
      <c r="AL31" s="5"/>
    </row>
    <row r="32" spans="16:38" ht="15" thickBot="1" x14ac:dyDescent="0.4">
      <c r="P32" s="37"/>
      <c r="Q32" s="8" t="s">
        <v>47</v>
      </c>
      <c r="R32" s="15">
        <v>79.988408000000007</v>
      </c>
      <c r="S32" s="15">
        <f>R32*(33/30)</f>
        <v>87.987248800000017</v>
      </c>
      <c r="T32" s="5"/>
      <c r="U32" s="5"/>
      <c r="V32" s="5"/>
      <c r="X32" s="37"/>
      <c r="Y32" s="8" t="s">
        <v>47</v>
      </c>
      <c r="Z32" s="15">
        <v>36.454376000000003</v>
      </c>
      <c r="AA32" s="15">
        <f>Z32*(33/30)</f>
        <v>40.099813600000004</v>
      </c>
      <c r="AB32" s="5"/>
      <c r="AC32" s="5"/>
      <c r="AD32" s="5"/>
      <c r="AF32" s="37"/>
      <c r="AG32" s="8" t="s">
        <v>47</v>
      </c>
      <c r="AH32" s="15">
        <v>19.991137999999999</v>
      </c>
      <c r="AI32" s="15">
        <f>AH32*(33/30)</f>
        <v>21.990251800000003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80.254896000000002</v>
      </c>
      <c r="S33" s="16">
        <f t="shared" si="0"/>
        <v>88.280385600000017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40.341031999999998</v>
      </c>
      <c r="AA33" s="16">
        <f t="shared" si="3"/>
        <v>44.375135200000003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23.142534000000001</v>
      </c>
      <c r="AI33" s="16">
        <f t="shared" si="4"/>
        <v>25.456787400000003</v>
      </c>
      <c r="AJ33" s="12" t="s">
        <v>37</v>
      </c>
      <c r="AK33" s="5" t="s">
        <v>43</v>
      </c>
      <c r="AL33" s="5"/>
    </row>
    <row r="34" spans="15:38" ht="15" thickBot="1" x14ac:dyDescent="0.4">
      <c r="P34" s="24" t="s">
        <v>35</v>
      </c>
      <c r="Q34" s="8" t="s">
        <v>46</v>
      </c>
      <c r="R34" s="21">
        <v>254.8</v>
      </c>
      <c r="S34" s="21">
        <f t="shared" si="0"/>
        <v>280.28000000000003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59.24906</v>
      </c>
      <c r="AA34" s="15">
        <f t="shared" si="3"/>
        <v>65.173966000000007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21">
        <v>34.769156000000002</v>
      </c>
      <c r="AI34" s="21">
        <f t="shared" si="4"/>
        <v>38.246071600000008</v>
      </c>
      <c r="AJ34" s="5" t="s">
        <v>37</v>
      </c>
      <c r="AK34" s="5" t="s">
        <v>43</v>
      </c>
      <c r="AL34" s="5"/>
    </row>
    <row r="35" spans="15:38" ht="15" thickBot="1" x14ac:dyDescent="0.4">
      <c r="P35" s="36"/>
      <c r="Q35" s="8" t="s">
        <v>47</v>
      </c>
      <c r="R35" s="15">
        <v>205.848252</v>
      </c>
      <c r="S35" s="15">
        <f>R35*(33/30)</f>
        <v>226.43307720000001</v>
      </c>
      <c r="T35" s="5"/>
      <c r="U35" s="5"/>
      <c r="V35" s="5"/>
      <c r="X35" s="36"/>
      <c r="Y35" s="8" t="s">
        <v>47</v>
      </c>
      <c r="Z35" s="15">
        <v>55.394804000000001</v>
      </c>
      <c r="AA35" s="15">
        <f>Z35*(33/30)</f>
        <v>60.934284400000003</v>
      </c>
      <c r="AB35" s="5"/>
      <c r="AC35" s="5"/>
      <c r="AD35" s="5"/>
      <c r="AF35" s="36"/>
      <c r="AG35" s="8" t="s">
        <v>47</v>
      </c>
      <c r="AH35" s="15">
        <v>30.125787500000001</v>
      </c>
      <c r="AI35" s="15">
        <f>AH35*(33/30)</f>
        <v>33.138366250000004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205.86737199999999</v>
      </c>
      <c r="S36" s="16">
        <f t="shared" si="0"/>
        <v>226.4541092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57.289580000000001</v>
      </c>
      <c r="AA36" s="16">
        <f t="shared" si="3"/>
        <v>63.018538000000007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31.9484095</v>
      </c>
      <c r="AI36" s="16">
        <f t="shared" si="4"/>
        <v>35.143250450000004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22">
        <v>277.22238399999998</v>
      </c>
      <c r="S37" s="22">
        <f>R37*(33/33)</f>
        <v>277.22238399999998</v>
      </c>
      <c r="T37" s="5" t="s">
        <v>37</v>
      </c>
      <c r="U37" s="5" t="s">
        <v>43</v>
      </c>
      <c r="V37" s="5"/>
      <c r="X37" s="26" t="s">
        <v>23</v>
      </c>
      <c r="Y37" s="27"/>
      <c r="Z37" s="22">
        <v>172.1276</v>
      </c>
      <c r="AA37" s="22">
        <f>Z37*(33/33)</f>
        <v>172.1276</v>
      </c>
      <c r="AB37" s="5" t="s">
        <v>37</v>
      </c>
      <c r="AC37" s="5" t="s">
        <v>43</v>
      </c>
      <c r="AD37" s="5"/>
      <c r="AF37" s="26" t="s">
        <v>23</v>
      </c>
      <c r="AG37" s="27"/>
      <c r="AH37" s="22">
        <v>146.1</v>
      </c>
      <c r="AI37" s="22">
        <f>AH37*(33/33)</f>
        <v>146.1</v>
      </c>
      <c r="AJ37" s="5" t="s">
        <v>37</v>
      </c>
      <c r="AK37" s="5" t="s">
        <v>43</v>
      </c>
      <c r="AL37" s="5"/>
    </row>
    <row r="38" spans="15:38" x14ac:dyDescent="0.35">
      <c r="R38" s="6"/>
      <c r="S38" s="6"/>
      <c r="Z38" s="6"/>
      <c r="AA38" s="6"/>
      <c r="AH38" s="6"/>
      <c r="AI38" s="6"/>
    </row>
    <row r="39" spans="15:38" ht="15" thickBot="1" x14ac:dyDescent="0.4">
      <c r="R39" s="6"/>
      <c r="S39" s="6"/>
      <c r="Z39" s="6"/>
      <c r="AA39" s="6"/>
      <c r="AH39" s="6"/>
      <c r="AI39" s="6"/>
    </row>
    <row r="40" spans="15:38" ht="23.5" thickBot="1" x14ac:dyDescent="0.4">
      <c r="P40" s="34" t="s">
        <v>0</v>
      </c>
      <c r="Q40" s="35"/>
      <c r="R40" s="18" t="s">
        <v>26</v>
      </c>
      <c r="S40" s="18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8" t="s">
        <v>26</v>
      </c>
      <c r="AA40" s="18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8" t="s">
        <v>26</v>
      </c>
      <c r="AI40" s="18"/>
      <c r="AJ40" s="1" t="s">
        <v>25</v>
      </c>
      <c r="AK40" s="1" t="s">
        <v>26</v>
      </c>
      <c r="AL40" s="1" t="s">
        <v>27</v>
      </c>
    </row>
    <row r="41" spans="15:38" ht="15" customHeight="1" thickBot="1" x14ac:dyDescent="0.4">
      <c r="O41" s="2" t="s">
        <v>28</v>
      </c>
      <c r="P41" s="32" t="s">
        <v>3</v>
      </c>
      <c r="Q41" s="33"/>
      <c r="R41" s="19"/>
      <c r="S41" s="19"/>
      <c r="T41" s="3"/>
      <c r="U41" s="3"/>
      <c r="V41" s="3"/>
      <c r="W41" s="2" t="s">
        <v>28</v>
      </c>
      <c r="X41" s="32" t="s">
        <v>3</v>
      </c>
      <c r="Y41" s="33"/>
      <c r="Z41" s="19"/>
      <c r="AA41" s="19"/>
      <c r="AB41" s="3"/>
      <c r="AC41" s="3"/>
      <c r="AD41" s="3"/>
      <c r="AE41" s="2" t="s">
        <v>28</v>
      </c>
      <c r="AF41" s="32" t="s">
        <v>3</v>
      </c>
      <c r="AG41" s="33"/>
      <c r="AH41" s="19"/>
      <c r="AI41" s="19"/>
      <c r="AJ41" s="3"/>
      <c r="AK41" s="3"/>
      <c r="AL41" s="3"/>
    </row>
    <row r="42" spans="15:38" ht="15" customHeight="1" thickBot="1" x14ac:dyDescent="0.4">
      <c r="O42" s="6" t="s">
        <v>44</v>
      </c>
      <c r="P42" s="30" t="s">
        <v>4</v>
      </c>
      <c r="Q42" s="31"/>
      <c r="R42" s="19"/>
      <c r="S42" s="19"/>
      <c r="T42" s="3"/>
      <c r="U42" s="3"/>
      <c r="V42" s="3"/>
      <c r="W42" s="6" t="s">
        <v>30</v>
      </c>
      <c r="X42" s="30" t="s">
        <v>4</v>
      </c>
      <c r="Y42" s="31"/>
      <c r="Z42" s="19"/>
      <c r="AA42" s="19"/>
      <c r="AB42" s="3"/>
      <c r="AC42" s="3"/>
      <c r="AD42" s="3"/>
      <c r="AE42" s="6" t="s">
        <v>45</v>
      </c>
      <c r="AF42" s="30" t="s">
        <v>4</v>
      </c>
      <c r="AG42" s="31"/>
      <c r="AH42" s="19"/>
      <c r="AI42" s="19"/>
      <c r="AJ42" s="3"/>
      <c r="AK42" s="3"/>
      <c r="AL42" s="3"/>
    </row>
    <row r="43" spans="15:38" ht="15" customHeight="1" thickBot="1" x14ac:dyDescent="0.4">
      <c r="P43" s="32" t="s">
        <v>5</v>
      </c>
      <c r="Q43" s="33"/>
      <c r="R43" s="19"/>
      <c r="S43" s="19"/>
      <c r="T43" s="3"/>
      <c r="U43" s="3"/>
      <c r="V43" s="3"/>
      <c r="X43" s="32" t="s">
        <v>5</v>
      </c>
      <c r="Y43" s="33"/>
      <c r="Z43" s="19"/>
      <c r="AA43" s="19"/>
      <c r="AB43" s="3"/>
      <c r="AC43" s="3"/>
      <c r="AD43" s="3"/>
      <c r="AF43" s="32" t="s">
        <v>5</v>
      </c>
      <c r="AG43" s="33"/>
      <c r="AH43" s="19"/>
      <c r="AI43" s="19"/>
      <c r="AJ43" s="3"/>
      <c r="AK43" s="3"/>
      <c r="AL43" s="3"/>
    </row>
    <row r="44" spans="15:38" ht="15" customHeight="1" thickBot="1" x14ac:dyDescent="0.4">
      <c r="P44" s="30" t="s">
        <v>6</v>
      </c>
      <c r="Q44" s="31"/>
      <c r="R44" s="19"/>
      <c r="S44" s="19"/>
      <c r="T44" s="3"/>
      <c r="U44" s="3"/>
      <c r="V44" s="3"/>
      <c r="X44" s="30" t="s">
        <v>6</v>
      </c>
      <c r="Y44" s="31"/>
      <c r="Z44" s="19"/>
      <c r="AA44" s="19"/>
      <c r="AB44" s="3"/>
      <c r="AC44" s="3"/>
      <c r="AD44" s="3"/>
      <c r="AF44" s="30" t="s">
        <v>6</v>
      </c>
      <c r="AG44" s="31"/>
      <c r="AH44" s="19"/>
      <c r="AI44" s="19"/>
      <c r="AJ44" s="3"/>
      <c r="AK44" s="3"/>
      <c r="AL44" s="3"/>
    </row>
    <row r="45" spans="15:38" ht="15" customHeight="1" thickBot="1" x14ac:dyDescent="0.4">
      <c r="P45" s="32" t="s">
        <v>7</v>
      </c>
      <c r="Q45" s="33"/>
      <c r="R45" s="19"/>
      <c r="S45" s="19"/>
      <c r="T45" s="3"/>
      <c r="U45" s="3"/>
      <c r="V45" s="3"/>
      <c r="X45" s="32" t="s">
        <v>7</v>
      </c>
      <c r="Y45" s="33"/>
      <c r="Z45" s="19"/>
      <c r="AA45" s="19"/>
      <c r="AB45" s="3"/>
      <c r="AC45" s="3"/>
      <c r="AD45" s="3"/>
      <c r="AF45" s="32" t="s">
        <v>7</v>
      </c>
      <c r="AG45" s="33"/>
      <c r="AH45" s="19"/>
      <c r="AI45" s="19"/>
      <c r="AJ45" s="3"/>
      <c r="AK45" s="3"/>
      <c r="AL45" s="3"/>
    </row>
    <row r="46" spans="15:38" ht="15" customHeight="1" thickBot="1" x14ac:dyDescent="0.4">
      <c r="P46" s="30" t="s">
        <v>8</v>
      </c>
      <c r="Q46" s="31"/>
      <c r="R46" s="19"/>
      <c r="S46" s="19"/>
      <c r="T46" s="3"/>
      <c r="U46" s="3"/>
      <c r="V46" s="3"/>
      <c r="X46" s="30" t="s">
        <v>8</v>
      </c>
      <c r="Y46" s="31"/>
      <c r="Z46" s="19"/>
      <c r="AA46" s="19"/>
      <c r="AB46" s="3"/>
      <c r="AC46" s="3"/>
      <c r="AD46" s="3"/>
      <c r="AF46" s="30" t="s">
        <v>8</v>
      </c>
      <c r="AG46" s="31"/>
      <c r="AH46" s="19"/>
      <c r="AI46" s="19"/>
      <c r="AJ46" s="3"/>
      <c r="AK46" s="3"/>
      <c r="AL46" s="3"/>
    </row>
    <row r="47" spans="15:38" ht="15" customHeight="1" thickBot="1" x14ac:dyDescent="0.4">
      <c r="P47" s="32" t="s">
        <v>9</v>
      </c>
      <c r="Q47" s="33"/>
      <c r="R47" s="19"/>
      <c r="S47" s="19"/>
      <c r="T47" s="3"/>
      <c r="U47" s="3"/>
      <c r="V47" s="3"/>
      <c r="X47" s="32" t="s">
        <v>9</v>
      </c>
      <c r="Y47" s="33"/>
      <c r="Z47" s="19"/>
      <c r="AA47" s="19"/>
      <c r="AB47" s="3"/>
      <c r="AC47" s="3"/>
      <c r="AD47" s="3"/>
      <c r="AF47" s="32" t="s">
        <v>9</v>
      </c>
      <c r="AG47" s="33"/>
      <c r="AH47" s="19"/>
      <c r="AI47" s="19"/>
      <c r="AJ47" s="3"/>
      <c r="AK47" s="3"/>
      <c r="AL47" s="3"/>
    </row>
    <row r="48" spans="15:38" ht="15" customHeight="1" thickBot="1" x14ac:dyDescent="0.4">
      <c r="P48" s="30" t="s">
        <v>10</v>
      </c>
      <c r="Q48" s="31"/>
      <c r="R48" s="19"/>
      <c r="S48" s="19"/>
      <c r="T48" s="3"/>
      <c r="U48" s="3"/>
      <c r="V48" s="3"/>
      <c r="X48" s="30" t="s">
        <v>10</v>
      </c>
      <c r="Y48" s="31"/>
      <c r="Z48" s="19"/>
      <c r="AA48" s="19"/>
      <c r="AB48" s="3"/>
      <c r="AC48" s="3"/>
      <c r="AD48" s="3"/>
      <c r="AF48" s="30" t="s">
        <v>10</v>
      </c>
      <c r="AG48" s="31"/>
      <c r="AH48" s="19"/>
      <c r="AI48" s="19"/>
      <c r="AJ48" s="3"/>
      <c r="AK48" s="3"/>
      <c r="AL48" s="3"/>
    </row>
    <row r="49" spans="16:38" ht="15" customHeight="1" thickBot="1" x14ac:dyDescent="0.4">
      <c r="P49" s="32" t="s">
        <v>11</v>
      </c>
      <c r="Q49" s="33"/>
      <c r="R49" s="19"/>
      <c r="S49" s="19"/>
      <c r="T49" s="3"/>
      <c r="U49" s="3"/>
      <c r="V49" s="3"/>
      <c r="X49" s="32" t="s">
        <v>11</v>
      </c>
      <c r="Y49" s="33"/>
      <c r="Z49" s="19"/>
      <c r="AA49" s="19"/>
      <c r="AB49" s="3"/>
      <c r="AC49" s="3"/>
      <c r="AD49" s="3"/>
      <c r="AF49" s="32" t="s">
        <v>11</v>
      </c>
      <c r="AG49" s="33"/>
      <c r="AH49" s="19"/>
      <c r="AI49" s="19"/>
      <c r="AJ49" s="3"/>
      <c r="AK49" s="3"/>
      <c r="AL49" s="3"/>
    </row>
    <row r="50" spans="16:38" ht="15" customHeight="1" thickBot="1" x14ac:dyDescent="0.4">
      <c r="P50" s="30" t="s">
        <v>12</v>
      </c>
      <c r="Q50" s="31"/>
      <c r="R50" s="19"/>
      <c r="S50" s="19"/>
      <c r="T50" s="3"/>
      <c r="U50" s="3"/>
      <c r="V50" s="3"/>
      <c r="X50" s="30" t="s">
        <v>12</v>
      </c>
      <c r="Y50" s="31"/>
      <c r="Z50" s="19"/>
      <c r="AA50" s="19"/>
      <c r="AB50" s="3"/>
      <c r="AC50" s="3"/>
      <c r="AD50" s="3"/>
      <c r="AF50" s="30" t="s">
        <v>12</v>
      </c>
      <c r="AG50" s="31"/>
      <c r="AH50" s="19"/>
      <c r="AI50" s="19"/>
      <c r="AJ50" s="3"/>
      <c r="AK50" s="3"/>
      <c r="AL50" s="3"/>
    </row>
    <row r="51" spans="16:38" ht="15" customHeight="1" thickBot="1" x14ac:dyDescent="0.4">
      <c r="P51" s="32" t="s">
        <v>13</v>
      </c>
      <c r="Q51" s="33"/>
      <c r="R51" s="19"/>
      <c r="S51" s="19"/>
      <c r="T51" s="3"/>
      <c r="U51" s="3"/>
      <c r="V51" s="3"/>
      <c r="X51" s="32" t="s">
        <v>13</v>
      </c>
      <c r="Y51" s="33"/>
      <c r="Z51" s="19"/>
      <c r="AA51" s="19"/>
      <c r="AB51" s="3"/>
      <c r="AC51" s="3"/>
      <c r="AD51" s="3"/>
      <c r="AF51" s="32" t="s">
        <v>13</v>
      </c>
      <c r="AG51" s="33"/>
      <c r="AH51" s="19"/>
      <c r="AI51" s="19"/>
      <c r="AJ51" s="3"/>
      <c r="AK51" s="3"/>
      <c r="AL51" s="3"/>
    </row>
    <row r="52" spans="16:38" ht="15" customHeight="1" thickBot="1" x14ac:dyDescent="0.4">
      <c r="P52" s="30" t="s">
        <v>14</v>
      </c>
      <c r="Q52" s="31"/>
      <c r="R52" s="19"/>
      <c r="S52" s="19"/>
      <c r="T52" s="3"/>
      <c r="U52" s="3"/>
      <c r="V52" s="3"/>
      <c r="X52" s="30" t="s">
        <v>14</v>
      </c>
      <c r="Y52" s="31"/>
      <c r="Z52" s="19"/>
      <c r="AA52" s="19"/>
      <c r="AB52" s="3"/>
      <c r="AC52" s="3"/>
      <c r="AD52" s="3"/>
      <c r="AF52" s="30" t="s">
        <v>14</v>
      </c>
      <c r="AG52" s="31"/>
      <c r="AH52" s="19"/>
      <c r="AI52" s="19"/>
      <c r="AJ52" s="3"/>
      <c r="AK52" s="3"/>
      <c r="AL52" s="3"/>
    </row>
    <row r="53" spans="16:38" ht="15" customHeight="1" thickBot="1" x14ac:dyDescent="0.4">
      <c r="P53" s="32" t="s">
        <v>15</v>
      </c>
      <c r="Q53" s="33"/>
      <c r="R53" s="19"/>
      <c r="S53" s="19"/>
      <c r="T53" s="3"/>
      <c r="U53" s="3"/>
      <c r="V53" s="3"/>
      <c r="X53" s="32" t="s">
        <v>15</v>
      </c>
      <c r="Y53" s="33"/>
      <c r="Z53" s="19"/>
      <c r="AA53" s="19"/>
      <c r="AB53" s="3"/>
      <c r="AC53" s="3"/>
      <c r="AD53" s="3"/>
      <c r="AF53" s="32" t="s">
        <v>15</v>
      </c>
      <c r="AG53" s="33"/>
      <c r="AH53" s="19"/>
      <c r="AI53" s="19"/>
      <c r="AJ53" s="3"/>
      <c r="AK53" s="3"/>
      <c r="AL53" s="3"/>
    </row>
    <row r="54" spans="16:38" ht="15" customHeight="1" thickBot="1" x14ac:dyDescent="0.4">
      <c r="P54" s="30" t="s">
        <v>16</v>
      </c>
      <c r="Q54" s="31"/>
      <c r="R54" s="19"/>
      <c r="S54" s="19"/>
      <c r="T54" s="3"/>
      <c r="U54" s="3"/>
      <c r="V54" s="3"/>
      <c r="X54" s="30" t="s">
        <v>16</v>
      </c>
      <c r="Y54" s="31"/>
      <c r="Z54" s="19"/>
      <c r="AA54" s="19"/>
      <c r="AB54" s="3"/>
      <c r="AC54" s="3"/>
      <c r="AD54" s="3"/>
      <c r="AF54" s="30" t="s">
        <v>16</v>
      </c>
      <c r="AG54" s="31"/>
      <c r="AH54" s="19"/>
      <c r="AI54" s="19"/>
      <c r="AJ54" s="3"/>
      <c r="AK54" s="3"/>
      <c r="AL54" s="3"/>
    </row>
    <row r="55" spans="16:38" ht="15" customHeight="1" thickBot="1" x14ac:dyDescent="0.4">
      <c r="P55" s="32" t="s">
        <v>17</v>
      </c>
      <c r="Q55" s="33"/>
      <c r="R55" s="19"/>
      <c r="S55" s="19"/>
      <c r="T55" s="3"/>
      <c r="U55" s="3"/>
      <c r="V55" s="3"/>
      <c r="X55" s="32" t="s">
        <v>17</v>
      </c>
      <c r="Y55" s="33"/>
      <c r="Z55" s="19"/>
      <c r="AA55" s="19"/>
      <c r="AB55" s="3"/>
      <c r="AC55" s="3"/>
      <c r="AD55" s="3"/>
      <c r="AF55" s="32" t="s">
        <v>17</v>
      </c>
      <c r="AG55" s="33"/>
      <c r="AH55" s="19"/>
      <c r="AI55" s="19"/>
      <c r="AJ55" s="3"/>
      <c r="AK55" s="3"/>
      <c r="AL55" s="3"/>
    </row>
    <row r="56" spans="16:38" ht="15" customHeight="1" thickBot="1" x14ac:dyDescent="0.4">
      <c r="P56" s="30" t="s">
        <v>18</v>
      </c>
      <c r="Q56" s="31"/>
      <c r="R56" s="19"/>
      <c r="S56" s="19"/>
      <c r="T56" s="3"/>
      <c r="U56" s="3"/>
      <c r="V56" s="3"/>
      <c r="X56" s="30" t="s">
        <v>18</v>
      </c>
      <c r="Y56" s="31"/>
      <c r="Z56" s="19"/>
      <c r="AA56" s="19"/>
      <c r="AB56" s="3"/>
      <c r="AC56" s="3"/>
      <c r="AD56" s="3"/>
      <c r="AF56" s="30" t="s">
        <v>18</v>
      </c>
      <c r="AG56" s="31"/>
      <c r="AH56" s="19"/>
      <c r="AI56" s="19"/>
      <c r="AJ56" s="3"/>
      <c r="AK56" s="3"/>
      <c r="AL56" s="3"/>
    </row>
    <row r="57" spans="16:38" ht="21.75" customHeight="1" thickBot="1" x14ac:dyDescent="0.4">
      <c r="P57" s="28" t="s">
        <v>31</v>
      </c>
      <c r="Q57" s="8" t="s">
        <v>46</v>
      </c>
      <c r="R57" s="15">
        <v>288.35798299999999</v>
      </c>
      <c r="S57" s="15">
        <f>R57*(36/33)</f>
        <v>314.57234509090904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59.200968000000003</v>
      </c>
      <c r="AA57" s="15">
        <f>Z57*(36/33)</f>
        <v>64.582874181818184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51.900745100000002</v>
      </c>
      <c r="AI57" s="15">
        <f>AH57*(36/33)</f>
        <v>56.618994654545453</v>
      </c>
      <c r="AJ57" s="3" t="s">
        <v>37</v>
      </c>
      <c r="AK57" s="3" t="s">
        <v>43</v>
      </c>
      <c r="AL57" s="3"/>
    </row>
    <row r="58" spans="16:38" ht="21.75" customHeight="1" thickBot="1" x14ac:dyDescent="0.4">
      <c r="P58" s="37"/>
      <c r="Q58" s="8" t="s">
        <v>47</v>
      </c>
      <c r="R58" s="15">
        <v>256.57844799999998</v>
      </c>
      <c r="S58" s="15">
        <f>R58*(36/33)</f>
        <v>279.90376145454542</v>
      </c>
      <c r="T58" s="3"/>
      <c r="U58" s="3"/>
      <c r="V58" s="3"/>
      <c r="X58" s="37"/>
      <c r="Y58" s="8" t="s">
        <v>47</v>
      </c>
      <c r="Z58" s="15">
        <v>60.086615999999999</v>
      </c>
      <c r="AA58" s="15">
        <f>Z58*(33/30)</f>
        <v>66.095277600000003</v>
      </c>
      <c r="AB58" s="3"/>
      <c r="AC58" s="3"/>
      <c r="AD58" s="3"/>
      <c r="AF58" s="37"/>
      <c r="AG58" s="8" t="s">
        <v>47</v>
      </c>
      <c r="AH58" s="15">
        <v>50.552838299999998</v>
      </c>
      <c r="AI58" s="15">
        <f>AH58*(33/30)</f>
        <v>55.608122130000005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261.72263600000002</v>
      </c>
      <c r="S59" s="16">
        <f t="shared" ref="S59:S75" si="5">R59*(36/33)</f>
        <v>285.51560290909089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60.456288000000001</v>
      </c>
      <c r="AA59" s="16">
        <f t="shared" ref="AA59:AA65" si="6">Z59*(36/33)</f>
        <v>65.952314181818181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51.965752500000001</v>
      </c>
      <c r="AI59" s="16">
        <f t="shared" ref="AI59:AI65" si="7">AH59*(36/33)</f>
        <v>56.689911818181812</v>
      </c>
      <c r="AJ59" s="13" t="s">
        <v>37</v>
      </c>
      <c r="AK59" s="3" t="s">
        <v>43</v>
      </c>
      <c r="AL59" s="3"/>
    </row>
    <row r="60" spans="16:38" ht="23.25" customHeight="1" thickBot="1" x14ac:dyDescent="0.4">
      <c r="P60" s="24" t="s">
        <v>32</v>
      </c>
      <c r="Q60" s="8" t="s">
        <v>46</v>
      </c>
      <c r="R60" s="15">
        <v>82.188000000000002</v>
      </c>
      <c r="S60" s="15">
        <f t="shared" si="5"/>
        <v>89.659636363636366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40.454051999999997</v>
      </c>
      <c r="AA60" s="15">
        <f t="shared" si="6"/>
        <v>44.131693090909081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26.972586</v>
      </c>
      <c r="AI60" s="15">
        <f t="shared" si="7"/>
        <v>29.424639272727269</v>
      </c>
      <c r="AJ60" s="3" t="s">
        <v>37</v>
      </c>
      <c r="AK60" s="3" t="s">
        <v>43</v>
      </c>
      <c r="AL60" s="3"/>
    </row>
    <row r="61" spans="16:38" ht="24.75" customHeight="1" thickBot="1" x14ac:dyDescent="0.4">
      <c r="P61" s="36"/>
      <c r="Q61" s="8" t="s">
        <v>47</v>
      </c>
      <c r="R61" s="15">
        <v>49.996639999999999</v>
      </c>
      <c r="S61" s="15">
        <f>R61*(36/33)</f>
        <v>54.541789090909084</v>
      </c>
      <c r="T61" s="3"/>
      <c r="U61" s="3"/>
      <c r="V61" s="3"/>
      <c r="X61" s="36"/>
      <c r="Y61" s="8" t="s">
        <v>47</v>
      </c>
      <c r="Z61" s="15">
        <v>38.779375999999999</v>
      </c>
      <c r="AA61" s="15">
        <f>Z61*(33/30)</f>
        <v>42.657313600000002</v>
      </c>
      <c r="AB61" s="3"/>
      <c r="AC61" s="3"/>
      <c r="AD61" s="3"/>
      <c r="AF61" s="36"/>
      <c r="AG61" s="8" t="s">
        <v>47</v>
      </c>
      <c r="AH61" s="15">
        <v>27.214580000000002</v>
      </c>
      <c r="AI61" s="15">
        <f>AH61*(33/30)</f>
        <v>29.936038000000003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51.350127999999998</v>
      </c>
      <c r="S62" s="16">
        <f t="shared" si="5"/>
        <v>56.01832145454545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38.897607999999998</v>
      </c>
      <c r="AA62" s="16">
        <f t="shared" si="6"/>
        <v>42.433754181818173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26.533467999999999</v>
      </c>
      <c r="AI62" s="16">
        <f t="shared" si="7"/>
        <v>28.94560145454545</v>
      </c>
      <c r="AJ62" s="13" t="s">
        <v>37</v>
      </c>
      <c r="AK62" s="3" t="s">
        <v>43</v>
      </c>
      <c r="AL62" s="3"/>
    </row>
    <row r="63" spans="16:38" ht="15" thickBot="1" x14ac:dyDescent="0.4">
      <c r="P63" s="24" t="s">
        <v>33</v>
      </c>
      <c r="Q63" s="8" t="s">
        <v>46</v>
      </c>
      <c r="R63" s="15">
        <v>212.38643200000001</v>
      </c>
      <c r="S63" s="15">
        <f t="shared" si="5"/>
        <v>231.69428945454544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42.339199999999998</v>
      </c>
      <c r="AA63" s="15">
        <f t="shared" si="6"/>
        <v>46.188218181818179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36.642259000000003</v>
      </c>
      <c r="AI63" s="15">
        <f t="shared" si="7"/>
        <v>39.973373454545452</v>
      </c>
      <c r="AJ63" s="3" t="s">
        <v>37</v>
      </c>
      <c r="AK63" s="3" t="s">
        <v>43</v>
      </c>
      <c r="AL63" s="3"/>
    </row>
    <row r="64" spans="16:38" ht="15" thickBot="1" x14ac:dyDescent="0.4">
      <c r="P64" s="36"/>
      <c r="Q64" s="8" t="s">
        <v>47</v>
      </c>
      <c r="R64" s="16">
        <v>214.47534400000001</v>
      </c>
      <c r="S64" s="16">
        <f>R64*(36/33)</f>
        <v>233.97310254545454</v>
      </c>
      <c r="T64" s="3"/>
      <c r="U64" s="3"/>
      <c r="V64" s="3"/>
      <c r="X64" s="36"/>
      <c r="Y64" s="8" t="s">
        <v>47</v>
      </c>
      <c r="Z64" s="15">
        <v>45.432935999999998</v>
      </c>
      <c r="AA64" s="15">
        <f>Z64*(33/30)</f>
        <v>49.976229600000003</v>
      </c>
      <c r="AB64" s="3"/>
      <c r="AC64" s="3"/>
      <c r="AD64" s="3"/>
      <c r="AF64" s="36"/>
      <c r="AG64" s="8" t="s">
        <v>47</v>
      </c>
      <c r="AH64" s="15">
        <v>35.802581500000002</v>
      </c>
      <c r="AI64" s="15">
        <f>AH64*(33/30)</f>
        <v>39.382839650000008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219.54096799999999</v>
      </c>
      <c r="S65" s="16">
        <f t="shared" si="5"/>
        <v>239.4992378181818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44.866036000000001</v>
      </c>
      <c r="AA65" s="16">
        <f t="shared" si="6"/>
        <v>48.944766545454542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39.893005500000001</v>
      </c>
      <c r="AI65" s="16">
        <f t="shared" si="7"/>
        <v>43.519642363636365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22">
        <v>295.08973800000001</v>
      </c>
      <c r="S66" s="22">
        <f>R66*(36/36)</f>
        <v>295.08973800000001</v>
      </c>
      <c r="T66" s="3" t="s">
        <v>37</v>
      </c>
      <c r="U66" s="3" t="s">
        <v>43</v>
      </c>
      <c r="V66" s="3"/>
      <c r="X66" s="26" t="s">
        <v>34</v>
      </c>
      <c r="Y66" s="27"/>
      <c r="Z66" s="22">
        <v>189.05129399999998</v>
      </c>
      <c r="AA66" s="22">
        <f>Z66*(36/36)</f>
        <v>189.05129399999998</v>
      </c>
      <c r="AB66" s="3" t="s">
        <v>37</v>
      </c>
      <c r="AC66" s="3" t="s">
        <v>43</v>
      </c>
      <c r="AD66" s="3"/>
      <c r="AF66" s="26" t="s">
        <v>34</v>
      </c>
      <c r="AG66" s="27"/>
      <c r="AH66" s="22">
        <v>139.4</v>
      </c>
      <c r="AI66" s="22">
        <f>AH66*(36/36)</f>
        <v>139.4</v>
      </c>
      <c r="AJ66" s="3" t="s">
        <v>37</v>
      </c>
      <c r="AK66" s="3" t="s">
        <v>43</v>
      </c>
      <c r="AL66" s="3"/>
    </row>
    <row r="67" spans="16:38" ht="15" thickBot="1" x14ac:dyDescent="0.4">
      <c r="P67" s="28" t="s">
        <v>21</v>
      </c>
      <c r="Q67" s="8" t="s">
        <v>46</v>
      </c>
      <c r="R67" s="15">
        <v>323.25397500000003</v>
      </c>
      <c r="S67" s="15">
        <f t="shared" si="5"/>
        <v>352.64069999999998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61.687144000000004</v>
      </c>
      <c r="AA67" s="15">
        <f t="shared" ref="AA67:AA75" si="8">Z67*(36/33)</f>
        <v>67.295066181818186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21">
        <v>52.150188200000002</v>
      </c>
      <c r="AI67" s="21">
        <f>AH67*(36/33)</f>
        <v>56.891114399999999</v>
      </c>
      <c r="AJ67" s="3" t="s">
        <v>37</v>
      </c>
      <c r="AK67" s="3" t="s">
        <v>43</v>
      </c>
      <c r="AL67" s="3"/>
    </row>
    <row r="68" spans="16:38" ht="15" thickBot="1" x14ac:dyDescent="0.4">
      <c r="P68" s="37"/>
      <c r="Q68" s="8" t="s">
        <v>47</v>
      </c>
      <c r="R68" s="15">
        <v>287.88623200000001</v>
      </c>
      <c r="S68" s="15">
        <f>R68*(36/33)</f>
        <v>314.0577076363636</v>
      </c>
      <c r="T68" s="3"/>
      <c r="U68" s="3"/>
      <c r="V68" s="3"/>
      <c r="X68" s="37"/>
      <c r="Y68" s="8" t="s">
        <v>47</v>
      </c>
      <c r="Z68" s="15">
        <v>62.589855999999997</v>
      </c>
      <c r="AA68" s="15">
        <f>Z68*(33/30)</f>
        <v>68.8488416</v>
      </c>
      <c r="AB68" s="3"/>
      <c r="AC68" s="3"/>
      <c r="AD68" s="3"/>
      <c r="AF68" s="37"/>
      <c r="AG68" s="8" t="s">
        <v>47</v>
      </c>
      <c r="AH68" s="21">
        <v>50.798014700000003</v>
      </c>
      <c r="AI68" s="21">
        <f>AH68*(33/30)</f>
        <v>55.87781617000001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293.33839999999998</v>
      </c>
      <c r="S69" s="16">
        <f t="shared" si="5"/>
        <v>320.00552727272725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62.990631999999998</v>
      </c>
      <c r="AA69" s="16">
        <f t="shared" si="8"/>
        <v>68.71705309090909</v>
      </c>
      <c r="AB69" s="13" t="s">
        <v>37</v>
      </c>
      <c r="AC69" s="3" t="s">
        <v>43</v>
      </c>
      <c r="AD69" s="3"/>
      <c r="AF69" s="29"/>
      <c r="AG69" s="4" t="s">
        <v>20</v>
      </c>
      <c r="AH69" s="23">
        <v>52.218535099999997</v>
      </c>
      <c r="AI69" s="23">
        <f t="shared" ref="AI69:AI75" si="9">AH69*(36/33)</f>
        <v>56.965674654545445</v>
      </c>
      <c r="AJ69" s="13" t="s">
        <v>37</v>
      </c>
      <c r="AK69" s="3" t="s">
        <v>43</v>
      </c>
      <c r="AL69" s="3"/>
    </row>
    <row r="70" spans="16:38" ht="15" thickBot="1" x14ac:dyDescent="0.4">
      <c r="P70" s="28" t="s">
        <v>22</v>
      </c>
      <c r="Q70" s="8" t="s">
        <v>46</v>
      </c>
      <c r="R70" s="15">
        <v>92.367903999999996</v>
      </c>
      <c r="S70" s="15">
        <f t="shared" si="5"/>
        <v>100.76498618181817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37.953764</v>
      </c>
      <c r="AA70" s="15">
        <f t="shared" si="8"/>
        <v>41.404106181818179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21">
        <v>26.337492000000001</v>
      </c>
      <c r="AI70" s="21">
        <f t="shared" si="9"/>
        <v>28.731809454545452</v>
      </c>
      <c r="AJ70" s="3" t="s">
        <v>37</v>
      </c>
      <c r="AK70" s="3" t="s">
        <v>43</v>
      </c>
      <c r="AL70" s="3"/>
    </row>
    <row r="71" spans="16:38" ht="15" thickBot="1" x14ac:dyDescent="0.4">
      <c r="P71" s="37"/>
      <c r="Q71" s="8" t="s">
        <v>47</v>
      </c>
      <c r="R71" s="15">
        <v>55.786320000000003</v>
      </c>
      <c r="S71" s="15">
        <f>R71*(36/33)</f>
        <v>60.857803636363634</v>
      </c>
      <c r="T71" s="3"/>
      <c r="U71" s="3"/>
      <c r="V71" s="3"/>
      <c r="X71" s="37"/>
      <c r="Y71" s="8" t="s">
        <v>47</v>
      </c>
      <c r="Z71" s="15">
        <v>41.249907999999998</v>
      </c>
      <c r="AA71" s="15">
        <f>Z71*(33/30)</f>
        <v>45.374898800000004</v>
      </c>
      <c r="AB71" s="3"/>
      <c r="AC71" s="3"/>
      <c r="AD71" s="3"/>
      <c r="AF71" s="37"/>
      <c r="AG71" s="8" t="s">
        <v>47</v>
      </c>
      <c r="AH71" s="21">
        <v>28.110828000000001</v>
      </c>
      <c r="AI71" s="21">
        <f>AH71*(33/30)</f>
        <v>30.921910800000003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57.256328000000003</v>
      </c>
      <c r="S72" s="16">
        <f t="shared" si="5"/>
        <v>62.461448727272725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41.405487999999998</v>
      </c>
      <c r="AA72" s="16">
        <f t="shared" si="8"/>
        <v>45.169623272727264</v>
      </c>
      <c r="AB72" s="13" t="s">
        <v>37</v>
      </c>
      <c r="AC72" s="3" t="s">
        <v>43</v>
      </c>
      <c r="AD72" s="3"/>
      <c r="AF72" s="29"/>
      <c r="AG72" s="4" t="s">
        <v>20</v>
      </c>
      <c r="AH72" s="23">
        <v>27.449956</v>
      </c>
      <c r="AI72" s="23">
        <f t="shared" si="9"/>
        <v>29.945406545454542</v>
      </c>
      <c r="AJ72" s="13" t="s">
        <v>37</v>
      </c>
      <c r="AK72" s="3" t="s">
        <v>43</v>
      </c>
      <c r="AL72" s="3"/>
    </row>
    <row r="73" spans="16:38" ht="15" thickBot="1" x14ac:dyDescent="0.4">
      <c r="P73" s="24" t="s">
        <v>35</v>
      </c>
      <c r="Q73" s="8" t="s">
        <v>46</v>
      </c>
      <c r="R73" s="15">
        <v>237.90601599999999</v>
      </c>
      <c r="S73" s="15">
        <f t="shared" si="5"/>
        <v>259.53383563636362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38.940151999999998</v>
      </c>
      <c r="AA73" s="15">
        <f t="shared" si="8"/>
        <v>42.48016581818181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21">
        <v>36.793350500000003</v>
      </c>
      <c r="AI73" s="21">
        <f t="shared" si="9"/>
        <v>40.138200545454545</v>
      </c>
      <c r="AJ73" s="3" t="s">
        <v>37</v>
      </c>
      <c r="AK73" s="3" t="s">
        <v>43</v>
      </c>
      <c r="AL73" s="3"/>
    </row>
    <row r="74" spans="16:38" ht="15" thickBot="1" x14ac:dyDescent="0.4">
      <c r="P74" s="36"/>
      <c r="Q74" s="8" t="s">
        <v>47</v>
      </c>
      <c r="R74" s="15">
        <v>240.574352</v>
      </c>
      <c r="S74" s="15">
        <f>R74*(36/33)</f>
        <v>262.44474763636362</v>
      </c>
      <c r="T74" s="3"/>
      <c r="U74" s="3"/>
      <c r="V74" s="3"/>
      <c r="X74" s="36"/>
      <c r="Y74" s="8" t="s">
        <v>47</v>
      </c>
      <c r="Z74" s="15">
        <v>48.844028000000002</v>
      </c>
      <c r="AA74" s="15">
        <f>Z74*(33/30)</f>
        <v>53.728430800000005</v>
      </c>
      <c r="AB74" s="3"/>
      <c r="AC74" s="3"/>
      <c r="AD74" s="3"/>
      <c r="AF74" s="36"/>
      <c r="AG74" s="8" t="s">
        <v>47</v>
      </c>
      <c r="AH74" s="21">
        <v>35.894967000000001</v>
      </c>
      <c r="AI74" s="21">
        <f>AH74*(33/30)</f>
        <v>39.484463700000006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246.13828000000001</v>
      </c>
      <c r="S75" s="16">
        <f t="shared" si="5"/>
        <v>268.51448727272725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48.323403999999996</v>
      </c>
      <c r="AA75" s="16">
        <f t="shared" si="8"/>
        <v>52.716440727272719</v>
      </c>
      <c r="AB75" s="13" t="s">
        <v>37</v>
      </c>
      <c r="AC75" s="3" t="s">
        <v>43</v>
      </c>
      <c r="AD75" s="3"/>
      <c r="AF75" s="25"/>
      <c r="AG75" s="4" t="s">
        <v>20</v>
      </c>
      <c r="AH75" s="23">
        <v>40.056729500000003</v>
      </c>
      <c r="AI75" s="23">
        <f t="shared" si="9"/>
        <v>43.698250363636362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22">
        <v>315.70313599999997</v>
      </c>
      <c r="S76" s="22">
        <f>R76*(36/36)</f>
        <v>315.70313599999997</v>
      </c>
      <c r="T76" s="3" t="s">
        <v>37</v>
      </c>
      <c r="U76" s="3" t="s">
        <v>43</v>
      </c>
      <c r="V76" s="3"/>
      <c r="X76" s="26" t="s">
        <v>23</v>
      </c>
      <c r="Y76" s="27"/>
      <c r="Z76" s="22">
        <v>198.49409399999999</v>
      </c>
      <c r="AA76" s="22">
        <f>Z76*(36/36)</f>
        <v>198.49409399999999</v>
      </c>
      <c r="AB76" s="3" t="s">
        <v>37</v>
      </c>
      <c r="AC76" s="3" t="s">
        <v>43</v>
      </c>
      <c r="AD76" s="3"/>
      <c r="AF76" s="26" t="s">
        <v>23</v>
      </c>
      <c r="AG76" s="27"/>
      <c r="AH76" s="22">
        <v>140.80000000000001</v>
      </c>
      <c r="AI76" s="22">
        <f>AH76*(36/36)</f>
        <v>140.80000000000001</v>
      </c>
      <c r="AJ76" s="3" t="s">
        <v>37</v>
      </c>
      <c r="AK76" s="3" t="s">
        <v>43</v>
      </c>
      <c r="AL76" s="3"/>
    </row>
  </sheetData>
  <mergeCells count="150">
    <mergeCell ref="P1:Q1"/>
    <mergeCell ref="X1:Y1"/>
    <mergeCell ref="AF1:AG1"/>
    <mergeCell ref="P2:Q2"/>
    <mergeCell ref="X2:Y2"/>
    <mergeCell ref="AF2:AG2"/>
    <mergeCell ref="P5:Q5"/>
    <mergeCell ref="X5:Y5"/>
    <mergeCell ref="AF5:AG5"/>
    <mergeCell ref="P6:Q6"/>
    <mergeCell ref="X6:Y6"/>
    <mergeCell ref="AF6:AG6"/>
    <mergeCell ref="P3:Q3"/>
    <mergeCell ref="X3:Y3"/>
    <mergeCell ref="AF3:AG3"/>
    <mergeCell ref="P4:Q4"/>
    <mergeCell ref="X4:Y4"/>
    <mergeCell ref="AF4:AG4"/>
    <mergeCell ref="P9:Q9"/>
    <mergeCell ref="X9:Y9"/>
    <mergeCell ref="AF9:AG9"/>
    <mergeCell ref="P10:Q10"/>
    <mergeCell ref="X10:Y10"/>
    <mergeCell ref="AF10:AG10"/>
    <mergeCell ref="P7:Q7"/>
    <mergeCell ref="X7:Y7"/>
    <mergeCell ref="AF7:AG7"/>
    <mergeCell ref="P8:Q8"/>
    <mergeCell ref="X8:Y8"/>
    <mergeCell ref="AF8:AG8"/>
    <mergeCell ref="P13:Q13"/>
    <mergeCell ref="X13:Y13"/>
    <mergeCell ref="AF13:AG13"/>
    <mergeCell ref="P14:Q14"/>
    <mergeCell ref="X14:Y14"/>
    <mergeCell ref="AF14:AG14"/>
    <mergeCell ref="P11:Q11"/>
    <mergeCell ref="X11:Y11"/>
    <mergeCell ref="AF11:AG11"/>
    <mergeCell ref="P12:Q12"/>
    <mergeCell ref="X12:Y12"/>
    <mergeCell ref="AF12:AG12"/>
    <mergeCell ref="P17:Q17"/>
    <mergeCell ref="X17:Y17"/>
    <mergeCell ref="AF17:AG17"/>
    <mergeCell ref="P18:P20"/>
    <mergeCell ref="X18:X20"/>
    <mergeCell ref="AF18:AF20"/>
    <mergeCell ref="P15:Q15"/>
    <mergeCell ref="X15:Y15"/>
    <mergeCell ref="AF15:AG15"/>
    <mergeCell ref="P16:Q16"/>
    <mergeCell ref="X16:Y16"/>
    <mergeCell ref="AF16:AG16"/>
    <mergeCell ref="P27:Q27"/>
    <mergeCell ref="X27:Y27"/>
    <mergeCell ref="AF27:AG27"/>
    <mergeCell ref="P28:P30"/>
    <mergeCell ref="X28:X30"/>
    <mergeCell ref="AF28:AF30"/>
    <mergeCell ref="P21:P23"/>
    <mergeCell ref="X21:X23"/>
    <mergeCell ref="AF21:AF23"/>
    <mergeCell ref="P24:P26"/>
    <mergeCell ref="X24:X26"/>
    <mergeCell ref="AF24:AF26"/>
    <mergeCell ref="P37:Q37"/>
    <mergeCell ref="X37:Y37"/>
    <mergeCell ref="AF37:AG37"/>
    <mergeCell ref="P40:Q40"/>
    <mergeCell ref="X40:Y40"/>
    <mergeCell ref="AF40:AG40"/>
    <mergeCell ref="P31:P33"/>
    <mergeCell ref="X31:X33"/>
    <mergeCell ref="AF31:AF33"/>
    <mergeCell ref="P34:P36"/>
    <mergeCell ref="X34:X36"/>
    <mergeCell ref="AF34:AF36"/>
    <mergeCell ref="P43:Q43"/>
    <mergeCell ref="X43:Y43"/>
    <mergeCell ref="AF43:AG43"/>
    <mergeCell ref="P44:Q44"/>
    <mergeCell ref="X44:Y44"/>
    <mergeCell ref="AF44:AG44"/>
    <mergeCell ref="P41:Q41"/>
    <mergeCell ref="X41:Y41"/>
    <mergeCell ref="AF41:AG41"/>
    <mergeCell ref="P42:Q42"/>
    <mergeCell ref="X42:Y42"/>
    <mergeCell ref="AF42:AG42"/>
    <mergeCell ref="P47:Q47"/>
    <mergeCell ref="X47:Y47"/>
    <mergeCell ref="AF47:AG47"/>
    <mergeCell ref="P48:Q48"/>
    <mergeCell ref="X48:Y48"/>
    <mergeCell ref="AF48:AG48"/>
    <mergeCell ref="P45:Q45"/>
    <mergeCell ref="X45:Y45"/>
    <mergeCell ref="AF45:AG45"/>
    <mergeCell ref="P46:Q46"/>
    <mergeCell ref="X46:Y46"/>
    <mergeCell ref="AF46:AG46"/>
    <mergeCell ref="P51:Q51"/>
    <mergeCell ref="X51:Y51"/>
    <mergeCell ref="AF51:AG51"/>
    <mergeCell ref="P52:Q52"/>
    <mergeCell ref="X52:Y52"/>
    <mergeCell ref="AF52:AG52"/>
    <mergeCell ref="P49:Q49"/>
    <mergeCell ref="X49:Y49"/>
    <mergeCell ref="AF49:AG49"/>
    <mergeCell ref="P50:Q50"/>
    <mergeCell ref="X50:Y50"/>
    <mergeCell ref="AF50:AG50"/>
    <mergeCell ref="P55:Q55"/>
    <mergeCell ref="X55:Y55"/>
    <mergeCell ref="AF55:AG55"/>
    <mergeCell ref="P56:Q56"/>
    <mergeCell ref="X56:Y56"/>
    <mergeCell ref="AF56:AG56"/>
    <mergeCell ref="P53:Q53"/>
    <mergeCell ref="X53:Y53"/>
    <mergeCell ref="AF53:AG53"/>
    <mergeCell ref="P54:Q54"/>
    <mergeCell ref="X54:Y54"/>
    <mergeCell ref="AF54:AG54"/>
    <mergeCell ref="P63:P65"/>
    <mergeCell ref="X63:X65"/>
    <mergeCell ref="AF63:AF65"/>
    <mergeCell ref="P66:Q66"/>
    <mergeCell ref="X66:Y66"/>
    <mergeCell ref="AF66:AG66"/>
    <mergeCell ref="P57:P59"/>
    <mergeCell ref="X57:X59"/>
    <mergeCell ref="AF57:AF59"/>
    <mergeCell ref="P60:P62"/>
    <mergeCell ref="X60:X62"/>
    <mergeCell ref="AF60:AF62"/>
    <mergeCell ref="P73:P75"/>
    <mergeCell ref="X73:X75"/>
    <mergeCell ref="AF73:AF75"/>
    <mergeCell ref="P76:Q76"/>
    <mergeCell ref="X76:Y76"/>
    <mergeCell ref="AF76:AG76"/>
    <mergeCell ref="P67:P69"/>
    <mergeCell ref="X67:X69"/>
    <mergeCell ref="AF67:AF69"/>
    <mergeCell ref="P70:P72"/>
    <mergeCell ref="X70:X72"/>
    <mergeCell ref="AF70:AF72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BEDE-F99C-4C8D-9CE4-ED45046A9EF1}">
  <dimension ref="A1:AA64"/>
  <sheetViews>
    <sheetView zoomScale="90" zoomScaleNormal="90" workbookViewId="0">
      <selection activeCell="F18" sqref="F18"/>
    </sheetView>
  </sheetViews>
  <sheetFormatPr defaultRowHeight="14.5" x14ac:dyDescent="0.35"/>
  <cols>
    <col min="2" max="2" width="26.1796875" customWidth="1"/>
    <col min="3" max="3" width="18" customWidth="1"/>
    <col min="4" max="4" width="11.54296875" bestFit="1" customWidth="1"/>
    <col min="8" max="8" width="10.453125" customWidth="1"/>
    <col min="11" max="11" width="26.1796875" customWidth="1"/>
    <col min="12" max="12" width="16.453125" bestFit="1" customWidth="1"/>
    <col min="13" max="13" width="11.54296875" bestFit="1" customWidth="1"/>
    <col min="17" max="17" width="10.54296875" customWidth="1"/>
    <col min="20" max="20" width="26.1796875" customWidth="1"/>
    <col min="21" max="21" width="16.453125" bestFit="1" customWidth="1"/>
    <col min="22" max="22" width="11.54296875" bestFit="1" customWidth="1"/>
    <col min="26" max="26" width="10.54296875" customWidth="1"/>
  </cols>
  <sheetData>
    <row r="1" spans="1:27" ht="23.5" thickBot="1" x14ac:dyDescent="0.4">
      <c r="B1" s="34" t="s">
        <v>0</v>
      </c>
      <c r="C1" s="35"/>
      <c r="D1" s="1" t="s">
        <v>1</v>
      </c>
      <c r="E1" s="1" t="s">
        <v>24</v>
      </c>
      <c r="F1" s="1" t="s">
        <v>25</v>
      </c>
      <c r="G1" s="1" t="s">
        <v>26</v>
      </c>
      <c r="H1" s="1" t="s">
        <v>36</v>
      </c>
      <c r="I1" s="1" t="s">
        <v>27</v>
      </c>
      <c r="K1" s="34" t="s">
        <v>0</v>
      </c>
      <c r="L1" s="35"/>
      <c r="M1" s="1" t="s">
        <v>1</v>
      </c>
      <c r="N1" s="1" t="s">
        <v>24</v>
      </c>
      <c r="O1" s="1" t="s">
        <v>25</v>
      </c>
      <c r="P1" s="1" t="s">
        <v>26</v>
      </c>
      <c r="Q1" s="1" t="s">
        <v>36</v>
      </c>
      <c r="R1" s="1" t="s">
        <v>27</v>
      </c>
      <c r="T1" s="34" t="s">
        <v>0</v>
      </c>
      <c r="U1" s="35"/>
      <c r="V1" s="1" t="s">
        <v>1</v>
      </c>
      <c r="W1" s="1" t="s">
        <v>24</v>
      </c>
      <c r="X1" s="1" t="s">
        <v>25</v>
      </c>
      <c r="Y1" s="1" t="s">
        <v>26</v>
      </c>
      <c r="Z1" s="1" t="s">
        <v>36</v>
      </c>
      <c r="AA1" s="1" t="s">
        <v>27</v>
      </c>
    </row>
    <row r="2" spans="1:27" ht="15" thickBot="1" x14ac:dyDescent="0.4">
      <c r="A2" s="2" t="s">
        <v>2</v>
      </c>
      <c r="B2" s="32" t="s">
        <v>3</v>
      </c>
      <c r="C2" s="33"/>
      <c r="D2" s="3"/>
      <c r="E2" s="3"/>
      <c r="F2" s="3"/>
      <c r="G2" s="3"/>
      <c r="H2" s="3"/>
      <c r="I2" s="3"/>
      <c r="J2" s="2" t="s">
        <v>2</v>
      </c>
      <c r="K2" s="32" t="s">
        <v>3</v>
      </c>
      <c r="L2" s="33"/>
      <c r="M2" s="3"/>
      <c r="N2" s="3"/>
      <c r="O2" s="3"/>
      <c r="P2" s="3"/>
      <c r="Q2" s="3"/>
      <c r="R2" s="3"/>
      <c r="S2" s="2" t="s">
        <v>2</v>
      </c>
      <c r="T2" s="32" t="s">
        <v>3</v>
      </c>
      <c r="U2" s="33"/>
      <c r="V2" s="3"/>
      <c r="W2" s="3"/>
      <c r="X2" s="3"/>
      <c r="Y2" s="3"/>
      <c r="Z2" s="3"/>
      <c r="AA2" s="3"/>
    </row>
    <row r="3" spans="1:27" ht="15" thickBot="1" x14ac:dyDescent="0.4">
      <c r="A3" s="6" t="s">
        <v>44</v>
      </c>
      <c r="B3" s="30" t="s">
        <v>4</v>
      </c>
      <c r="C3" s="31"/>
      <c r="D3" s="3"/>
      <c r="E3" s="3"/>
      <c r="F3" s="3"/>
      <c r="G3" s="3"/>
      <c r="H3" s="3"/>
      <c r="I3" s="3"/>
      <c r="J3" s="6" t="s">
        <v>30</v>
      </c>
      <c r="K3" s="30" t="s">
        <v>4</v>
      </c>
      <c r="L3" s="31"/>
      <c r="M3" s="3"/>
      <c r="N3" s="3"/>
      <c r="O3" s="3"/>
      <c r="P3" s="3"/>
      <c r="Q3" s="3"/>
      <c r="R3" s="3"/>
      <c r="S3" s="6" t="s">
        <v>45</v>
      </c>
      <c r="T3" s="30" t="s">
        <v>4</v>
      </c>
      <c r="U3" s="31"/>
      <c r="V3" s="3"/>
      <c r="W3" s="3"/>
      <c r="X3" s="3"/>
      <c r="Y3" s="3"/>
      <c r="Z3" s="3"/>
      <c r="AA3" s="3"/>
    </row>
    <row r="4" spans="1:27" ht="15" thickBot="1" x14ac:dyDescent="0.4">
      <c r="B4" s="32" t="s">
        <v>5</v>
      </c>
      <c r="C4" s="33"/>
      <c r="D4" s="3"/>
      <c r="E4" s="3"/>
      <c r="F4" s="3"/>
      <c r="G4" s="3"/>
      <c r="H4" s="3"/>
      <c r="I4" s="3"/>
      <c r="K4" s="32" t="s">
        <v>5</v>
      </c>
      <c r="L4" s="33"/>
      <c r="M4" s="3"/>
      <c r="N4" s="3"/>
      <c r="O4" s="3"/>
      <c r="P4" s="3"/>
      <c r="Q4" s="3"/>
      <c r="R4" s="3"/>
      <c r="T4" s="32" t="s">
        <v>5</v>
      </c>
      <c r="U4" s="33"/>
      <c r="V4" s="3"/>
      <c r="W4" s="3"/>
      <c r="X4" s="3"/>
      <c r="Y4" s="3"/>
      <c r="Z4" s="3"/>
      <c r="AA4" s="3"/>
    </row>
    <row r="5" spans="1:27" ht="15" thickBot="1" x14ac:dyDescent="0.4">
      <c r="B5" s="30" t="s">
        <v>6</v>
      </c>
      <c r="C5" s="31"/>
      <c r="D5" s="3"/>
      <c r="E5" s="3"/>
      <c r="F5" s="3"/>
      <c r="G5" s="3"/>
      <c r="H5" s="3"/>
      <c r="I5" s="3"/>
      <c r="K5" s="30" t="s">
        <v>6</v>
      </c>
      <c r="L5" s="31"/>
      <c r="M5" s="3"/>
      <c r="N5" s="3"/>
      <c r="O5" s="3"/>
      <c r="P5" s="3"/>
      <c r="Q5" s="3"/>
      <c r="R5" s="3"/>
      <c r="T5" s="30" t="s">
        <v>6</v>
      </c>
      <c r="U5" s="31"/>
      <c r="V5" s="3"/>
      <c r="W5" s="3"/>
      <c r="X5" s="3"/>
      <c r="Y5" s="3"/>
      <c r="Z5" s="3"/>
      <c r="AA5" s="3"/>
    </row>
    <row r="6" spans="1:27" ht="15" thickBot="1" x14ac:dyDescent="0.4">
      <c r="B6" s="32" t="s">
        <v>7</v>
      </c>
      <c r="C6" s="33"/>
      <c r="D6" s="3"/>
      <c r="E6" s="3"/>
      <c r="F6" s="3"/>
      <c r="G6" s="3"/>
      <c r="H6" s="3"/>
      <c r="I6" s="3"/>
      <c r="K6" s="32" t="s">
        <v>7</v>
      </c>
      <c r="L6" s="33"/>
      <c r="M6" s="3"/>
      <c r="N6" s="3"/>
      <c r="O6" s="3"/>
      <c r="P6" s="3"/>
      <c r="Q6" s="3"/>
      <c r="R6" s="3"/>
      <c r="T6" s="32" t="s">
        <v>7</v>
      </c>
      <c r="U6" s="33"/>
      <c r="V6" s="3"/>
      <c r="W6" s="3"/>
      <c r="X6" s="3"/>
      <c r="Y6" s="3"/>
      <c r="Z6" s="3"/>
      <c r="AA6" s="3"/>
    </row>
    <row r="7" spans="1:27" ht="15" thickBot="1" x14ac:dyDescent="0.4">
      <c r="B7" s="30" t="s">
        <v>8</v>
      </c>
      <c r="C7" s="31"/>
      <c r="D7" s="3"/>
      <c r="E7" s="3"/>
      <c r="F7" s="3"/>
      <c r="G7" s="3"/>
      <c r="H7" s="3"/>
      <c r="I7" s="3"/>
      <c r="K7" s="30" t="s">
        <v>8</v>
      </c>
      <c r="L7" s="31"/>
      <c r="M7" s="3"/>
      <c r="N7" s="3"/>
      <c r="O7" s="3"/>
      <c r="P7" s="3"/>
      <c r="Q7" s="3"/>
      <c r="R7" s="3"/>
      <c r="T7" s="30" t="s">
        <v>8</v>
      </c>
      <c r="U7" s="31"/>
      <c r="V7" s="3"/>
      <c r="W7" s="3"/>
      <c r="X7" s="3"/>
      <c r="Y7" s="3"/>
      <c r="Z7" s="3"/>
      <c r="AA7" s="3"/>
    </row>
    <row r="8" spans="1:27" ht="15" thickBot="1" x14ac:dyDescent="0.4">
      <c r="B8" s="32" t="s">
        <v>9</v>
      </c>
      <c r="C8" s="33"/>
      <c r="D8" s="3"/>
      <c r="E8" s="3"/>
      <c r="F8" s="3"/>
      <c r="G8" s="3"/>
      <c r="H8" s="3"/>
      <c r="I8" s="3"/>
      <c r="K8" s="32" t="s">
        <v>9</v>
      </c>
      <c r="L8" s="33"/>
      <c r="M8" s="3"/>
      <c r="N8" s="3"/>
      <c r="O8" s="3"/>
      <c r="P8" s="3"/>
      <c r="Q8" s="3"/>
      <c r="R8" s="3"/>
      <c r="T8" s="32" t="s">
        <v>9</v>
      </c>
      <c r="U8" s="33"/>
      <c r="V8" s="3"/>
      <c r="W8" s="3"/>
      <c r="X8" s="3"/>
      <c r="Y8" s="3"/>
      <c r="Z8" s="3"/>
      <c r="AA8" s="3"/>
    </row>
    <row r="9" spans="1:27" ht="15" thickBot="1" x14ac:dyDescent="0.4">
      <c r="B9" s="30" t="s">
        <v>10</v>
      </c>
      <c r="C9" s="31"/>
      <c r="D9" s="3"/>
      <c r="E9" s="3"/>
      <c r="F9" s="3"/>
      <c r="G9" s="3"/>
      <c r="H9" s="3"/>
      <c r="I9" s="3"/>
      <c r="K9" s="30" t="s">
        <v>10</v>
      </c>
      <c r="L9" s="31"/>
      <c r="M9" s="3"/>
      <c r="N9" s="3"/>
      <c r="O9" s="3"/>
      <c r="P9" s="3"/>
      <c r="Q9" s="3"/>
      <c r="R9" s="3"/>
      <c r="T9" s="30" t="s">
        <v>10</v>
      </c>
      <c r="U9" s="31"/>
      <c r="V9" s="3"/>
      <c r="W9" s="3"/>
      <c r="X9" s="3"/>
      <c r="Y9" s="3"/>
      <c r="Z9" s="3"/>
      <c r="AA9" s="3"/>
    </row>
    <row r="10" spans="1:27" ht="15" thickBot="1" x14ac:dyDescent="0.4">
      <c r="B10" s="32" t="s">
        <v>11</v>
      </c>
      <c r="C10" s="33"/>
      <c r="D10" s="3"/>
      <c r="E10" s="3"/>
      <c r="F10" s="3"/>
      <c r="G10" s="3"/>
      <c r="H10" s="3"/>
      <c r="I10" s="3"/>
      <c r="K10" s="32" t="s">
        <v>11</v>
      </c>
      <c r="L10" s="33"/>
      <c r="M10" s="3"/>
      <c r="N10" s="3"/>
      <c r="O10" s="3"/>
      <c r="P10" s="3"/>
      <c r="Q10" s="3"/>
      <c r="R10" s="3"/>
      <c r="T10" s="32" t="s">
        <v>11</v>
      </c>
      <c r="U10" s="33"/>
      <c r="V10" s="3"/>
      <c r="W10" s="3"/>
      <c r="X10" s="3"/>
      <c r="Y10" s="3"/>
      <c r="Z10" s="3"/>
      <c r="AA10" s="3"/>
    </row>
    <row r="11" spans="1:27" ht="15" thickBot="1" x14ac:dyDescent="0.4">
      <c r="B11" s="30" t="s">
        <v>12</v>
      </c>
      <c r="C11" s="31"/>
      <c r="D11" s="3"/>
      <c r="E11" s="3"/>
      <c r="F11" s="3"/>
      <c r="G11" s="3"/>
      <c r="H11" s="3"/>
      <c r="I11" s="3"/>
      <c r="K11" s="30" t="s">
        <v>12</v>
      </c>
      <c r="L11" s="31"/>
      <c r="M11" s="3"/>
      <c r="N11" s="3"/>
      <c r="O11" s="3"/>
      <c r="P11" s="3"/>
      <c r="Q11" s="3"/>
      <c r="R11" s="3"/>
      <c r="T11" s="30" t="s">
        <v>12</v>
      </c>
      <c r="U11" s="31"/>
      <c r="V11" s="3"/>
      <c r="W11" s="3"/>
      <c r="X11" s="3"/>
      <c r="Y11" s="3"/>
      <c r="Z11" s="3"/>
      <c r="AA11" s="3"/>
    </row>
    <row r="12" spans="1:27" ht="15" thickBot="1" x14ac:dyDescent="0.4">
      <c r="B12" s="32" t="s">
        <v>13</v>
      </c>
      <c r="C12" s="33"/>
      <c r="D12" s="3"/>
      <c r="E12" s="3"/>
      <c r="F12" s="3"/>
      <c r="G12" s="3"/>
      <c r="H12" s="3"/>
      <c r="I12" s="3"/>
      <c r="K12" s="32" t="s">
        <v>13</v>
      </c>
      <c r="L12" s="33"/>
      <c r="M12" s="3"/>
      <c r="N12" s="3"/>
      <c r="O12" s="3"/>
      <c r="P12" s="3"/>
      <c r="Q12" s="3"/>
      <c r="R12" s="3"/>
      <c r="T12" s="32" t="s">
        <v>13</v>
      </c>
      <c r="U12" s="33"/>
      <c r="V12" s="3"/>
      <c r="W12" s="3"/>
      <c r="X12" s="3"/>
      <c r="Y12" s="3"/>
      <c r="Z12" s="3"/>
      <c r="AA12" s="3"/>
    </row>
    <row r="13" spans="1:27" ht="15" thickBot="1" x14ac:dyDescent="0.4">
      <c r="B13" s="30" t="s">
        <v>14</v>
      </c>
      <c r="C13" s="31"/>
      <c r="D13" s="3"/>
      <c r="E13" s="3"/>
      <c r="F13" s="3"/>
      <c r="G13" s="3"/>
      <c r="H13" s="3"/>
      <c r="I13" s="3"/>
      <c r="K13" s="30" t="s">
        <v>14</v>
      </c>
      <c r="L13" s="31"/>
      <c r="M13" s="3"/>
      <c r="N13" s="3"/>
      <c r="O13" s="3"/>
      <c r="P13" s="3"/>
      <c r="Q13" s="3"/>
      <c r="R13" s="3"/>
      <c r="T13" s="30" t="s">
        <v>14</v>
      </c>
      <c r="U13" s="31"/>
      <c r="V13" s="3"/>
      <c r="W13" s="3"/>
      <c r="X13" s="3"/>
      <c r="Y13" s="3"/>
      <c r="Z13" s="3"/>
      <c r="AA13" s="3"/>
    </row>
    <row r="14" spans="1:27" ht="15" thickBot="1" x14ac:dyDescent="0.4">
      <c r="B14" s="32" t="s">
        <v>15</v>
      </c>
      <c r="C14" s="33"/>
      <c r="D14" s="3"/>
      <c r="E14" s="3"/>
      <c r="F14" s="3"/>
      <c r="G14" s="3"/>
      <c r="H14" s="3"/>
      <c r="I14" s="3"/>
      <c r="K14" s="32" t="s">
        <v>15</v>
      </c>
      <c r="L14" s="33"/>
      <c r="M14" s="3"/>
      <c r="N14" s="3"/>
      <c r="O14" s="3"/>
      <c r="P14" s="3"/>
      <c r="Q14" s="3"/>
      <c r="R14" s="3"/>
      <c r="T14" s="32" t="s">
        <v>15</v>
      </c>
      <c r="U14" s="33"/>
      <c r="V14" s="3"/>
      <c r="W14" s="3"/>
      <c r="X14" s="3"/>
      <c r="Y14" s="3"/>
      <c r="Z14" s="3"/>
      <c r="AA14" s="3"/>
    </row>
    <row r="15" spans="1:27" ht="15" thickBot="1" x14ac:dyDescent="0.4">
      <c r="B15" s="30" t="s">
        <v>16</v>
      </c>
      <c r="C15" s="31"/>
      <c r="D15" s="3"/>
      <c r="E15" s="3"/>
      <c r="F15" s="3"/>
      <c r="G15" s="3"/>
      <c r="H15" s="3"/>
      <c r="I15" s="3"/>
      <c r="K15" s="30" t="s">
        <v>16</v>
      </c>
      <c r="L15" s="31"/>
      <c r="M15" s="3"/>
      <c r="N15" s="3"/>
      <c r="O15" s="3"/>
      <c r="P15" s="3"/>
      <c r="Q15" s="3"/>
      <c r="R15" s="3"/>
      <c r="T15" s="30" t="s">
        <v>16</v>
      </c>
      <c r="U15" s="31"/>
      <c r="V15" s="3"/>
      <c r="W15" s="3"/>
      <c r="X15" s="3"/>
      <c r="Y15" s="3"/>
      <c r="Z15" s="3"/>
      <c r="AA15" s="3"/>
    </row>
    <row r="16" spans="1:27" ht="15" thickBot="1" x14ac:dyDescent="0.4">
      <c r="B16" s="32" t="s">
        <v>17</v>
      </c>
      <c r="C16" s="33"/>
      <c r="D16" s="3"/>
      <c r="E16" s="3"/>
      <c r="F16" s="3"/>
      <c r="G16" s="3"/>
      <c r="H16" s="3"/>
      <c r="I16" s="3"/>
      <c r="K16" s="32" t="s">
        <v>17</v>
      </c>
      <c r="L16" s="33"/>
      <c r="M16" s="3"/>
      <c r="N16" s="3"/>
      <c r="O16" s="3"/>
      <c r="P16" s="3"/>
      <c r="Q16" s="3"/>
      <c r="R16" s="3"/>
      <c r="T16" s="32" t="s">
        <v>17</v>
      </c>
      <c r="U16" s="33"/>
      <c r="V16" s="3"/>
      <c r="W16" s="3"/>
      <c r="X16" s="3"/>
      <c r="Y16" s="3"/>
      <c r="Z16" s="3"/>
      <c r="AA16" s="3"/>
    </row>
    <row r="17" spans="2:27" ht="15" thickBot="1" x14ac:dyDescent="0.4">
      <c r="B17" s="30" t="s">
        <v>18</v>
      </c>
      <c r="C17" s="31"/>
      <c r="D17" s="3"/>
      <c r="E17" s="3"/>
      <c r="F17" s="3"/>
      <c r="G17" s="3"/>
      <c r="H17" s="3"/>
      <c r="I17" s="3"/>
      <c r="K17" s="30" t="s">
        <v>18</v>
      </c>
      <c r="L17" s="31"/>
      <c r="M17" s="3"/>
      <c r="N17" s="3"/>
      <c r="O17" s="3"/>
      <c r="P17" s="3"/>
      <c r="Q17" s="3"/>
      <c r="R17" s="3"/>
      <c r="T17" s="30" t="s">
        <v>18</v>
      </c>
      <c r="U17" s="31"/>
      <c r="V17" s="3"/>
      <c r="W17" s="3"/>
      <c r="X17" s="3"/>
      <c r="Y17" s="3"/>
      <c r="Z17" s="3"/>
      <c r="AA17" s="3"/>
    </row>
    <row r="18" spans="2:27" ht="25.5" customHeight="1" thickBot="1" x14ac:dyDescent="0.4">
      <c r="B18" s="28" t="s">
        <v>31</v>
      </c>
      <c r="C18" s="8" t="s">
        <v>19</v>
      </c>
      <c r="D18" s="9">
        <f>'BE-HE_P1toP2'!S18</f>
        <v>299.77034560000004</v>
      </c>
      <c r="E18" s="9" t="e">
        <f>#REF!</f>
        <v>#REF!</v>
      </c>
      <c r="F18" s="9">
        <f>'BE-BE_P1toP2'!S18</f>
        <v>261.71654960000001</v>
      </c>
      <c r="G18" s="9" t="e">
        <f>#REF!</f>
        <v>#REF!</v>
      </c>
      <c r="H18" s="9">
        <f>'HE-BEWalking'!S18</f>
        <v>0</v>
      </c>
      <c r="I18" s="9" t="e">
        <f>MAX(D18:H18)</f>
        <v>#REF!</v>
      </c>
      <c r="K18" s="28" t="s">
        <v>31</v>
      </c>
      <c r="L18" s="8" t="s">
        <v>19</v>
      </c>
      <c r="M18" s="9">
        <f>'BE-HE_P1toP2'!AA18</f>
        <v>89.859182600000011</v>
      </c>
      <c r="N18" s="9" t="e">
        <f>#REF!</f>
        <v>#REF!</v>
      </c>
      <c r="O18" s="9">
        <f>'BE-BE_P1toP2'!AA18</f>
        <v>88.914742400000009</v>
      </c>
      <c r="P18" s="9" t="e">
        <f>#REF!</f>
        <v>#REF!</v>
      </c>
      <c r="Q18" s="9">
        <f>'HE-BEWalking'!AA18</f>
        <v>0</v>
      </c>
      <c r="R18" s="9" t="e">
        <f>MAX(M18:Q18)</f>
        <v>#REF!</v>
      </c>
      <c r="T18" s="28" t="s">
        <v>31</v>
      </c>
      <c r="U18" s="8" t="s">
        <v>19</v>
      </c>
      <c r="V18" s="9" t="str">
        <f>'BE-HE_P1toP2'!AJ18</f>
        <v>checked</v>
      </c>
      <c r="W18" s="9" t="e">
        <f>#REF!</f>
        <v>#REF!</v>
      </c>
      <c r="X18" s="9" t="str">
        <f>'BE-BE_P1toP2'!AJ18</f>
        <v>checked</v>
      </c>
      <c r="Y18" s="9" t="e">
        <f>#REF!</f>
        <v>#REF!</v>
      </c>
      <c r="Z18" s="9">
        <f>'HE-BEWalking'!AJ18</f>
        <v>0</v>
      </c>
      <c r="AA18" s="9" t="e">
        <f>MAX(V18:Z18)</f>
        <v>#REF!</v>
      </c>
    </row>
    <row r="19" spans="2:27" ht="23.5" thickBot="1" x14ac:dyDescent="0.4">
      <c r="B19" s="29"/>
      <c r="C19" s="4" t="s">
        <v>20</v>
      </c>
      <c r="D19" s="5">
        <f>'BE-HE_P1toP2'!S20</f>
        <v>283.53532680000001</v>
      </c>
      <c r="E19" s="5" t="e">
        <f>#REF!</f>
        <v>#REF!</v>
      </c>
      <c r="F19" s="5">
        <f>'BE-BE_P1toP2'!S20</f>
        <v>254.15586900000002</v>
      </c>
      <c r="G19" s="5" t="e">
        <f>#REF!</f>
        <v>#REF!</v>
      </c>
      <c r="H19" s="5">
        <f>'HE-BEWalking'!S19</f>
        <v>0</v>
      </c>
      <c r="I19" s="5" t="e">
        <f t="shared" ref="I19:I31" si="0">MAX(D19:H19)</f>
        <v>#REF!</v>
      </c>
      <c r="K19" s="29"/>
      <c r="L19" s="4" t="s">
        <v>20</v>
      </c>
      <c r="M19" s="5">
        <f>'BE-HE_P1toP2'!AA20</f>
        <v>89.033663400000009</v>
      </c>
      <c r="N19" s="5" t="e">
        <f>#REF!</f>
        <v>#REF!</v>
      </c>
      <c r="O19" s="5">
        <f>'BE-BE_P1toP2'!AA20</f>
        <v>91.986298800000014</v>
      </c>
      <c r="P19" s="5" t="e">
        <f>#REF!</f>
        <v>#REF!</v>
      </c>
      <c r="Q19" s="5">
        <f>'HE-BEWalking'!AA19</f>
        <v>0</v>
      </c>
      <c r="R19" s="5" t="e">
        <f t="shared" ref="R19:R31" si="1">MAX(M19:Q19)</f>
        <v>#REF!</v>
      </c>
      <c r="T19" s="29"/>
      <c r="U19" s="4" t="s">
        <v>20</v>
      </c>
      <c r="V19" s="5" t="str">
        <f>'BE-HE_P1toP2'!AJ20</f>
        <v>checked</v>
      </c>
      <c r="W19" s="5" t="e">
        <f>#REF!</f>
        <v>#REF!</v>
      </c>
      <c r="X19" s="5" t="str">
        <f>'BE-BE_P1toP2'!AJ20</f>
        <v>checked</v>
      </c>
      <c r="Y19" s="5" t="e">
        <f>#REF!</f>
        <v>#REF!</v>
      </c>
      <c r="Z19" s="5">
        <f>'HE-BEWalking'!AJ19</f>
        <v>0</v>
      </c>
      <c r="AA19" s="5" t="e">
        <f t="shared" ref="AA19:AA23" si="2">MAX(V19:Z19)</f>
        <v>#REF!</v>
      </c>
    </row>
    <row r="20" spans="2:27" ht="15" customHeight="1" thickBot="1" x14ac:dyDescent="0.4">
      <c r="B20" s="24" t="s">
        <v>32</v>
      </c>
      <c r="C20" s="8" t="s">
        <v>19</v>
      </c>
      <c r="D20" s="9">
        <f>'BE-HE_P1toP2'!S21</f>
        <v>105.29530440000001</v>
      </c>
      <c r="E20" s="9" t="e">
        <f>#REF!</f>
        <v>#REF!</v>
      </c>
      <c r="F20" s="9">
        <f>'BE-BE_P1toP2'!S21</f>
        <v>97.378144600000013</v>
      </c>
      <c r="G20" s="9" t="e">
        <f>#REF!</f>
        <v>#REF!</v>
      </c>
      <c r="H20" s="9">
        <f>'HE-BEWalking'!S20</f>
        <v>0</v>
      </c>
      <c r="I20" s="9" t="e">
        <f t="shared" si="0"/>
        <v>#REF!</v>
      </c>
      <c r="K20" s="24" t="s">
        <v>32</v>
      </c>
      <c r="L20" s="8" t="s">
        <v>19</v>
      </c>
      <c r="M20" s="9">
        <f>'BE-HE_P1toP2'!AA21</f>
        <v>51.302266400000008</v>
      </c>
      <c r="N20" s="9" t="e">
        <f>#REF!</f>
        <v>#REF!</v>
      </c>
      <c r="O20" s="9">
        <f>'BE-BE_P1toP2'!AA21</f>
        <v>51.302266400000008</v>
      </c>
      <c r="P20" s="9" t="e">
        <f>#REF!</f>
        <v>#REF!</v>
      </c>
      <c r="Q20" s="9">
        <f>'HE-BEWalking'!AA20</f>
        <v>0</v>
      </c>
      <c r="R20" s="9" t="e">
        <f t="shared" si="1"/>
        <v>#REF!</v>
      </c>
      <c r="T20" s="24" t="s">
        <v>32</v>
      </c>
      <c r="U20" s="8" t="s">
        <v>19</v>
      </c>
      <c r="V20" s="9" t="str">
        <f>'BE-HE_P1toP2'!AJ21</f>
        <v>checked</v>
      </c>
      <c r="W20" s="9" t="e">
        <f>#REF!</f>
        <v>#REF!</v>
      </c>
      <c r="X20" s="9" t="str">
        <f>'BE-BE_P1toP2'!AJ21</f>
        <v>checked</v>
      </c>
      <c r="Y20" s="9" t="e">
        <f>#REF!</f>
        <v>#REF!</v>
      </c>
      <c r="Z20" s="9">
        <f>'HE-BEWalking'!AJ20</f>
        <v>0</v>
      </c>
      <c r="AA20" s="9" t="e">
        <f t="shared" si="2"/>
        <v>#REF!</v>
      </c>
    </row>
    <row r="21" spans="2:27" ht="23.5" thickBot="1" x14ac:dyDescent="0.4">
      <c r="B21" s="25"/>
      <c r="C21" s="4" t="s">
        <v>20</v>
      </c>
      <c r="D21" s="5">
        <f>'BE-HE_P1toP2'!S23</f>
        <v>78.207544800000008</v>
      </c>
      <c r="E21" s="5" t="e">
        <f>#REF!</f>
        <v>#REF!</v>
      </c>
      <c r="F21" s="5">
        <f>'BE-BE_P1toP2'!S23</f>
        <v>73.294377200000014</v>
      </c>
      <c r="G21" s="5" t="e">
        <f>#REF!</f>
        <v>#REF!</v>
      </c>
      <c r="H21" s="5">
        <f>'HE-BEWalking'!S21</f>
        <v>0</v>
      </c>
      <c r="I21" s="5" t="e">
        <f t="shared" si="0"/>
        <v>#REF!</v>
      </c>
      <c r="K21" s="25"/>
      <c r="L21" s="4" t="s">
        <v>20</v>
      </c>
      <c r="M21" s="5">
        <f>'BE-HE_P1toP2'!AA23</f>
        <v>39.989037000000003</v>
      </c>
      <c r="N21" s="5" t="e">
        <f>#REF!</f>
        <v>#REF!</v>
      </c>
      <c r="O21" s="5">
        <f>'BE-BE_P1toP2'!AA23</f>
        <v>37.475798800000007</v>
      </c>
      <c r="P21" s="5" t="e">
        <f>#REF!</f>
        <v>#REF!</v>
      </c>
      <c r="Q21" s="5">
        <f>'HE-BEWalking'!AA21</f>
        <v>0</v>
      </c>
      <c r="R21" s="5" t="e">
        <f t="shared" si="1"/>
        <v>#REF!</v>
      </c>
      <c r="T21" s="25"/>
      <c r="U21" s="4" t="s">
        <v>20</v>
      </c>
      <c r="V21" s="5" t="str">
        <f>'BE-HE_P1toP2'!AJ23</f>
        <v>checked</v>
      </c>
      <c r="W21" s="5" t="e">
        <f>#REF!</f>
        <v>#REF!</v>
      </c>
      <c r="X21" s="5" t="str">
        <f>'BE-BE_P1toP2'!AJ23</f>
        <v>checked</v>
      </c>
      <c r="Y21" s="5" t="e">
        <f>#REF!</f>
        <v>#REF!</v>
      </c>
      <c r="Z21" s="5">
        <f>'HE-BEWalking'!AJ21</f>
        <v>0</v>
      </c>
      <c r="AA21" s="5" t="e">
        <f t="shared" si="2"/>
        <v>#REF!</v>
      </c>
    </row>
    <row r="22" spans="2:27" ht="15" customHeight="1" thickBot="1" x14ac:dyDescent="0.4">
      <c r="B22" s="24" t="s">
        <v>33</v>
      </c>
      <c r="C22" s="8" t="s">
        <v>19</v>
      </c>
      <c r="D22" s="9">
        <f>'BE-HE_P1toP2'!S24</f>
        <v>289.22982330000002</v>
      </c>
      <c r="E22" s="9" t="e">
        <f>#REF!</f>
        <v>#REF!</v>
      </c>
      <c r="F22" s="9">
        <f>'BE-BE_P1toP2'!S24</f>
        <v>258.67032840000002</v>
      </c>
      <c r="G22" s="9" t="e">
        <f>#REF!</f>
        <v>#REF!</v>
      </c>
      <c r="H22" s="9">
        <f>'HE-BEWalking'!S22</f>
        <v>0</v>
      </c>
      <c r="I22" s="9" t="e">
        <f t="shared" si="0"/>
        <v>#REF!</v>
      </c>
      <c r="K22" s="24" t="s">
        <v>33</v>
      </c>
      <c r="L22" s="8" t="s">
        <v>19</v>
      </c>
      <c r="M22" s="9">
        <f>'BE-HE_P1toP2'!AA24</f>
        <v>55.312107400000009</v>
      </c>
      <c r="N22" s="9" t="e">
        <f>#REF!</f>
        <v>#REF!</v>
      </c>
      <c r="O22" s="9">
        <f>'BE-BE_P1toP2'!AA24</f>
        <v>60.243040000000001</v>
      </c>
      <c r="P22" s="9" t="e">
        <f>#REF!</f>
        <v>#REF!</v>
      </c>
      <c r="Q22" s="9">
        <f>'HE-BEWalking'!AA22</f>
        <v>0</v>
      </c>
      <c r="R22" s="9" t="e">
        <f t="shared" si="1"/>
        <v>#REF!</v>
      </c>
      <c r="T22" s="24" t="s">
        <v>33</v>
      </c>
      <c r="U22" s="8" t="s">
        <v>19</v>
      </c>
      <c r="V22" s="9" t="str">
        <f>'BE-HE_P1toP2'!AJ24</f>
        <v>checked</v>
      </c>
      <c r="W22" s="9" t="e">
        <f>#REF!</f>
        <v>#REF!</v>
      </c>
      <c r="X22" s="9" t="str">
        <f>'BE-BE_P1toP2'!AJ24</f>
        <v>checked</v>
      </c>
      <c r="Y22" s="9" t="e">
        <f>#REF!</f>
        <v>#REF!</v>
      </c>
      <c r="Z22" s="9">
        <f>'HE-BEWalking'!AJ22</f>
        <v>0</v>
      </c>
      <c r="AA22" s="9" t="e">
        <f t="shared" si="2"/>
        <v>#REF!</v>
      </c>
    </row>
    <row r="23" spans="2:27" ht="23.5" thickBot="1" x14ac:dyDescent="0.4">
      <c r="B23" s="25"/>
      <c r="C23" s="4" t="s">
        <v>20</v>
      </c>
      <c r="D23" s="5">
        <f>'BE-HE_P1toP2'!S26</f>
        <v>202.92160460000002</v>
      </c>
      <c r="E23" s="5" t="e">
        <f>#REF!</f>
        <v>#REF!</v>
      </c>
      <c r="F23" s="5">
        <f>'BE-BE_P1toP2'!S26</f>
        <v>183.16094280000002</v>
      </c>
      <c r="G23" s="5" t="e">
        <f>#REF!</f>
        <v>#REF!</v>
      </c>
      <c r="H23" s="5">
        <f>'HE-BEWalking'!S23</f>
        <v>0</v>
      </c>
      <c r="I23" s="5" t="e">
        <f t="shared" si="0"/>
        <v>#REF!</v>
      </c>
      <c r="K23" s="25"/>
      <c r="L23" s="4" t="s">
        <v>20</v>
      </c>
      <c r="M23" s="5">
        <f>'BE-HE_P1toP2'!AA26</f>
        <v>57.939274800000007</v>
      </c>
      <c r="N23" s="5" t="e">
        <f>#REF!</f>
        <v>#REF!</v>
      </c>
      <c r="O23" s="5">
        <f>'BE-BE_P1toP2'!AA26</f>
        <v>58.073276800000009</v>
      </c>
      <c r="P23" s="5" t="e">
        <f>#REF!</f>
        <v>#REF!</v>
      </c>
      <c r="Q23" s="5">
        <f>'HE-BEWalking'!AA23</f>
        <v>0</v>
      </c>
      <c r="R23" s="5" t="e">
        <f t="shared" si="1"/>
        <v>#REF!</v>
      </c>
      <c r="T23" s="25"/>
      <c r="U23" s="4" t="s">
        <v>20</v>
      </c>
      <c r="V23" s="5" t="str">
        <f>'BE-HE_P1toP2'!AJ26</f>
        <v>checked</v>
      </c>
      <c r="W23" s="5" t="e">
        <f>#REF!</f>
        <v>#REF!</v>
      </c>
      <c r="X23" s="5" t="str">
        <f>'BE-BE_P1toP2'!AJ26</f>
        <v>checked</v>
      </c>
      <c r="Y23" s="5" t="e">
        <f>#REF!</f>
        <v>#REF!</v>
      </c>
      <c r="Z23" s="5">
        <f>'HE-BEWalking'!AJ23</f>
        <v>0</v>
      </c>
      <c r="AA23" s="5" t="e">
        <f t="shared" si="2"/>
        <v>#REF!</v>
      </c>
    </row>
    <row r="24" spans="2:27" ht="15" customHeight="1" thickBot="1" x14ac:dyDescent="0.4">
      <c r="B24" s="26" t="s">
        <v>34</v>
      </c>
      <c r="C24" s="27"/>
      <c r="D24" s="7">
        <f>'BE-HE_P1toP2'!S27</f>
        <v>257.69429100000002</v>
      </c>
      <c r="E24" s="7" t="e">
        <f>#REF!</f>
        <v>#REF!</v>
      </c>
      <c r="F24" s="7">
        <f>'BE-BE_P1toP2'!S27</f>
        <v>276.39055999999999</v>
      </c>
      <c r="G24" s="7" t="e">
        <f>#REF!</f>
        <v>#REF!</v>
      </c>
      <c r="H24" s="7">
        <f>'HE-BEWalking'!S24</f>
        <v>0</v>
      </c>
      <c r="I24" s="7" t="e">
        <f t="shared" si="0"/>
        <v>#REF!</v>
      </c>
      <c r="K24" s="26" t="s">
        <v>34</v>
      </c>
      <c r="L24" s="27"/>
      <c r="M24" s="7">
        <f>'BE-HE_P1toP2'!AA27</f>
        <v>163.51737739999999</v>
      </c>
      <c r="N24" s="7" t="e">
        <f>#REF!</f>
        <v>#REF!</v>
      </c>
      <c r="O24" s="7">
        <f>'BE-BE_P1toP2'!AA27</f>
        <v>178.26162625000001</v>
      </c>
      <c r="P24" s="7" t="e">
        <f>#REF!</f>
        <v>#REF!</v>
      </c>
      <c r="Q24" s="7">
        <f>'HE-BEWalking'!AA24</f>
        <v>0</v>
      </c>
      <c r="R24" s="7" t="e">
        <f>MAX(M24:Q24)</f>
        <v>#REF!</v>
      </c>
      <c r="T24" s="26" t="s">
        <v>34</v>
      </c>
      <c r="U24" s="27"/>
      <c r="V24" s="7" t="str">
        <f>'BE-HE_P1toP2'!AJ27</f>
        <v>checked</v>
      </c>
      <c r="W24" s="7" t="e">
        <f>#REF!</f>
        <v>#REF!</v>
      </c>
      <c r="X24" s="7" t="str">
        <f>'BE-BE_P1toP2'!AJ27</f>
        <v>checked</v>
      </c>
      <c r="Y24" s="7" t="e">
        <f>#REF!</f>
        <v>#REF!</v>
      </c>
      <c r="Z24" s="7">
        <f>'HE-BEWalking'!AJ24</f>
        <v>0</v>
      </c>
      <c r="AA24" s="7" t="e">
        <f>MAX(V24:Z24)</f>
        <v>#REF!</v>
      </c>
    </row>
    <row r="25" spans="2:27" ht="15" customHeight="1" thickBot="1" x14ac:dyDescent="0.4">
      <c r="B25" s="28" t="s">
        <v>21</v>
      </c>
      <c r="C25" s="8" t="s">
        <v>19</v>
      </c>
      <c r="D25" s="9">
        <f>'BE-HE_P1toP2'!S28</f>
        <v>340.02335840000001</v>
      </c>
      <c r="E25" s="9" t="e">
        <f>#REF!</f>
        <v>#REF!</v>
      </c>
      <c r="F25" s="9">
        <f>'BE-BE_P1toP2'!S28</f>
        <v>296.52793280000003</v>
      </c>
      <c r="G25" s="9" t="e">
        <f>#REF!</f>
        <v>#REF!</v>
      </c>
      <c r="H25" s="9">
        <f>'HE-BEWalking'!S25</f>
        <v>0</v>
      </c>
      <c r="I25" s="9" t="e">
        <f t="shared" si="0"/>
        <v>#REF!</v>
      </c>
      <c r="K25" s="28" t="s">
        <v>21</v>
      </c>
      <c r="L25" s="8" t="s">
        <v>19</v>
      </c>
      <c r="M25" s="9">
        <f>'BE-HE_P1toP2'!AA28</f>
        <v>95.097222000000016</v>
      </c>
      <c r="N25" s="9" t="e">
        <f>#REF!</f>
        <v>#REF!</v>
      </c>
      <c r="O25" s="9">
        <f>'BE-BE_P1toP2'!AA28</f>
        <v>94.772788000000006</v>
      </c>
      <c r="P25" s="9" t="e">
        <f>#REF!</f>
        <v>#REF!</v>
      </c>
      <c r="Q25" s="9">
        <f>'HE-BEWalking'!AA25</f>
        <v>0</v>
      </c>
      <c r="R25" s="9" t="e">
        <f t="shared" si="1"/>
        <v>#REF!</v>
      </c>
      <c r="T25" s="28" t="s">
        <v>21</v>
      </c>
      <c r="U25" s="8" t="s">
        <v>19</v>
      </c>
      <c r="V25" s="9" t="str">
        <f>'BE-HE_P1toP2'!AJ28</f>
        <v>checked</v>
      </c>
      <c r="W25" s="9" t="e">
        <f>#REF!</f>
        <v>#REF!</v>
      </c>
      <c r="X25" s="9" t="str">
        <f>'BE-BE_P1toP2'!AJ28</f>
        <v>checked</v>
      </c>
      <c r="Y25" s="9" t="e">
        <f>#REF!</f>
        <v>#REF!</v>
      </c>
      <c r="Z25" s="9">
        <f>'HE-BEWalking'!AJ25</f>
        <v>0</v>
      </c>
      <c r="AA25" s="9" t="e">
        <f t="shared" ref="AA25:AA31" si="3">MAX(V25:Z25)</f>
        <v>#REF!</v>
      </c>
    </row>
    <row r="26" spans="2:27" ht="23.5" thickBot="1" x14ac:dyDescent="0.4">
      <c r="B26" s="29"/>
      <c r="C26" s="4" t="s">
        <v>20</v>
      </c>
      <c r="D26" s="5">
        <f>'BE-HE_P1toP2'!S30</f>
        <v>319.77530200000001</v>
      </c>
      <c r="E26" s="5" t="e">
        <f>#REF!</f>
        <v>#REF!</v>
      </c>
      <c r="F26" s="5">
        <f>'BE-BE_P1toP2'!S30</f>
        <v>286.1590028</v>
      </c>
      <c r="G26" s="5" t="e">
        <f>#REF!</f>
        <v>#REF!</v>
      </c>
      <c r="H26" s="5">
        <f>'HE-BEWalking'!S26</f>
        <v>0</v>
      </c>
      <c r="I26" s="5" t="e">
        <f t="shared" si="0"/>
        <v>#REF!</v>
      </c>
      <c r="K26" s="29"/>
      <c r="L26" s="4" t="s">
        <v>20</v>
      </c>
      <c r="M26" s="5">
        <f>'BE-HE_P1toP2'!AA30</f>
        <v>94.918579800000018</v>
      </c>
      <c r="N26" s="5" t="e">
        <f>#REF!</f>
        <v>#REF!</v>
      </c>
      <c r="O26" s="5">
        <f>'BE-BE_P1toP2'!AA30</f>
        <v>97.978836999999999</v>
      </c>
      <c r="P26" s="5" t="e">
        <f>#REF!</f>
        <v>#REF!</v>
      </c>
      <c r="Q26" s="5">
        <f>'HE-BEWalking'!AA26</f>
        <v>0</v>
      </c>
      <c r="R26" s="5" t="e">
        <f t="shared" si="1"/>
        <v>#REF!</v>
      </c>
      <c r="T26" s="29"/>
      <c r="U26" s="4" t="s">
        <v>20</v>
      </c>
      <c r="V26" s="5" t="str">
        <f>'BE-HE_P1toP2'!AJ30</f>
        <v>checked</v>
      </c>
      <c r="W26" s="5" t="e">
        <f>#REF!</f>
        <v>#REF!</v>
      </c>
      <c r="X26" s="5" t="str">
        <f>'BE-BE_P1toP2'!AJ30</f>
        <v>checked</v>
      </c>
      <c r="Y26" s="5" t="e">
        <f>#REF!</f>
        <v>#REF!</v>
      </c>
      <c r="Z26" s="5">
        <f>'HE-BEWalking'!AJ26</f>
        <v>0</v>
      </c>
      <c r="AA26" s="5" t="e">
        <f t="shared" si="3"/>
        <v>#REF!</v>
      </c>
    </row>
    <row r="27" spans="2:27" ht="15" customHeight="1" thickBot="1" x14ac:dyDescent="0.4">
      <c r="B27" s="28" t="s">
        <v>22</v>
      </c>
      <c r="C27" s="8" t="s">
        <v>19</v>
      </c>
      <c r="D27" s="9">
        <f>'BE-HE_P1toP2'!S31</f>
        <v>119.14015520000001</v>
      </c>
      <c r="E27" s="9" t="e">
        <f>#REF!</f>
        <v>#REF!</v>
      </c>
      <c r="F27" s="9">
        <f>'BE-BE_P1toP2'!S31</f>
        <v>110.47703480000001</v>
      </c>
      <c r="G27" s="9" t="e">
        <f>#REF!</f>
        <v>#REF!</v>
      </c>
      <c r="H27" s="9">
        <f>'HE-BEWalking'!S27</f>
        <v>0</v>
      </c>
      <c r="I27" s="9" t="e">
        <f t="shared" si="0"/>
        <v>#REF!</v>
      </c>
      <c r="K27" s="28" t="s">
        <v>22</v>
      </c>
      <c r="L27" s="8" t="s">
        <v>19</v>
      </c>
      <c r="M27" s="9">
        <f>'BE-HE_P1toP2'!AA31</f>
        <v>47.799549599999999</v>
      </c>
      <c r="N27" s="9" t="e">
        <f>#REF!</f>
        <v>#REF!</v>
      </c>
      <c r="O27" s="9">
        <f>'BE-BE_P1toP2'!AA31</f>
        <v>54.804983200000009</v>
      </c>
      <c r="P27" s="9" t="e">
        <f>#REF!</f>
        <v>#REF!</v>
      </c>
      <c r="Q27" s="9">
        <f>'HE-BEWalking'!AA27</f>
        <v>0</v>
      </c>
      <c r="R27" s="9" t="e">
        <f t="shared" si="1"/>
        <v>#REF!</v>
      </c>
      <c r="T27" s="28" t="s">
        <v>22</v>
      </c>
      <c r="U27" s="8" t="s">
        <v>19</v>
      </c>
      <c r="V27" s="9" t="str">
        <f>'BE-HE_P1toP2'!AJ31</f>
        <v>checked</v>
      </c>
      <c r="W27" s="9" t="e">
        <f>#REF!</f>
        <v>#REF!</v>
      </c>
      <c r="X27" s="9" t="str">
        <f>'BE-BE_P1toP2'!AJ31</f>
        <v>checked</v>
      </c>
      <c r="Y27" s="9" t="e">
        <f>#REF!</f>
        <v>#REF!</v>
      </c>
      <c r="Z27" s="9">
        <f>'HE-BEWalking'!AJ27</f>
        <v>0</v>
      </c>
      <c r="AA27" s="9" t="e">
        <f t="shared" si="3"/>
        <v>#REF!</v>
      </c>
    </row>
    <row r="28" spans="2:27" ht="23.5" thickBot="1" x14ac:dyDescent="0.4">
      <c r="B28" s="29"/>
      <c r="C28" s="4" t="s">
        <v>20</v>
      </c>
      <c r="D28" s="5">
        <f>'BE-HE_P1toP2'!S33</f>
        <v>88.280385600000017</v>
      </c>
      <c r="E28" s="5" t="e">
        <f>#REF!</f>
        <v>#REF!</v>
      </c>
      <c r="F28" s="5">
        <f>'BE-BE_P1toP2'!S33</f>
        <v>82.733173600000015</v>
      </c>
      <c r="G28" s="5" t="e">
        <f>#REF!</f>
        <v>#REF!</v>
      </c>
      <c r="H28" s="5">
        <f>'HE-BEWalking'!S28</f>
        <v>0</v>
      </c>
      <c r="I28" s="5" t="e">
        <f t="shared" si="0"/>
        <v>#REF!</v>
      </c>
      <c r="K28" s="29"/>
      <c r="L28" s="4" t="s">
        <v>20</v>
      </c>
      <c r="M28" s="5">
        <f>'BE-HE_P1toP2'!AA33</f>
        <v>44.375135200000003</v>
      </c>
      <c r="N28" s="5" t="e">
        <f>#REF!</f>
        <v>#REF!</v>
      </c>
      <c r="O28" s="5">
        <f>'BE-BE_P1toP2'!AA33</f>
        <v>40.125540400000006</v>
      </c>
      <c r="P28" s="5" t="e">
        <f>#REF!</f>
        <v>#REF!</v>
      </c>
      <c r="Q28" s="5">
        <f>'HE-BEWalking'!AA28</f>
        <v>0</v>
      </c>
      <c r="R28" s="5" t="e">
        <f t="shared" si="1"/>
        <v>#REF!</v>
      </c>
      <c r="T28" s="29"/>
      <c r="U28" s="4" t="s">
        <v>20</v>
      </c>
      <c r="V28" s="5" t="str">
        <f>'BE-HE_P1toP2'!AJ33</f>
        <v>checked</v>
      </c>
      <c r="W28" s="5" t="e">
        <f>#REF!</f>
        <v>#REF!</v>
      </c>
      <c r="X28" s="5" t="str">
        <f>'BE-BE_P1toP2'!AJ33</f>
        <v>checked</v>
      </c>
      <c r="Y28" s="5" t="e">
        <f>#REF!</f>
        <v>#REF!</v>
      </c>
      <c r="Z28" s="5">
        <f>'HE-BEWalking'!AJ28</f>
        <v>0</v>
      </c>
      <c r="AA28" s="5" t="e">
        <f t="shared" si="3"/>
        <v>#REF!</v>
      </c>
    </row>
    <row r="29" spans="2:27" ht="15" customHeight="1" thickBot="1" x14ac:dyDescent="0.4">
      <c r="B29" s="24" t="s">
        <v>35</v>
      </c>
      <c r="C29" s="8" t="s">
        <v>19</v>
      </c>
      <c r="D29" s="9">
        <f>'BE-HE_P1toP2'!S34</f>
        <v>323.63665125000006</v>
      </c>
      <c r="E29" s="9" t="e">
        <f>#REF!</f>
        <v>#REF!</v>
      </c>
      <c r="F29" s="9">
        <f>'BE-BE_P1toP2'!S34</f>
        <v>288.88318712</v>
      </c>
      <c r="G29" s="9" t="e">
        <f>#REF!</f>
        <v>#REF!</v>
      </c>
      <c r="H29" s="9">
        <f>'HE-BEWalking'!S29</f>
        <v>0</v>
      </c>
      <c r="I29" s="9" t="e">
        <f t="shared" si="0"/>
        <v>#REF!</v>
      </c>
      <c r="K29" s="24" t="s">
        <v>35</v>
      </c>
      <c r="L29" s="8" t="s">
        <v>19</v>
      </c>
      <c r="M29" s="9">
        <f>'BE-HE_P1toP2'!AA34</f>
        <v>65.173966000000007</v>
      </c>
      <c r="N29" s="9" t="e">
        <f>#REF!</f>
        <v>#REF!</v>
      </c>
      <c r="O29" s="9">
        <f>'BE-BE_P1toP2'!AA34</f>
        <v>65.173966000000007</v>
      </c>
      <c r="P29" s="9" t="e">
        <f>#REF!</f>
        <v>#REF!</v>
      </c>
      <c r="Q29" s="9">
        <f>'HE-BEWalking'!AA29</f>
        <v>0</v>
      </c>
      <c r="R29" s="9" t="e">
        <f t="shared" si="1"/>
        <v>#REF!</v>
      </c>
      <c r="T29" s="24" t="s">
        <v>35</v>
      </c>
      <c r="U29" s="8" t="s">
        <v>19</v>
      </c>
      <c r="V29" s="9" t="str">
        <f>'BE-HE_P1toP2'!AJ34</f>
        <v>checked</v>
      </c>
      <c r="W29" s="9" t="e">
        <f>#REF!</f>
        <v>#REF!</v>
      </c>
      <c r="X29" s="9" t="str">
        <f>'BE-BE_P1toP2'!AJ34</f>
        <v>checked</v>
      </c>
      <c r="Y29" s="9" t="e">
        <f>#REF!</f>
        <v>#REF!</v>
      </c>
      <c r="Z29" s="9">
        <f>'HE-BEWalking'!AJ29</f>
        <v>0</v>
      </c>
      <c r="AA29" s="9" t="e">
        <f t="shared" si="3"/>
        <v>#REF!</v>
      </c>
    </row>
    <row r="30" spans="2:27" ht="23.5" thickBot="1" x14ac:dyDescent="0.4">
      <c r="B30" s="25"/>
      <c r="C30" s="4" t="s">
        <v>20</v>
      </c>
      <c r="D30" s="5">
        <f>'BE-HE_P1toP2'!S36</f>
        <v>226.4541092</v>
      </c>
      <c r="E30" s="5" t="e">
        <f>#REF!</f>
        <v>#REF!</v>
      </c>
      <c r="F30" s="5">
        <f>'BE-BE_P1toP2'!S36</f>
        <v>204.00387040000001</v>
      </c>
      <c r="G30" s="5" t="e">
        <f>#REF!</f>
        <v>#REF!</v>
      </c>
      <c r="H30" s="5">
        <f>'HE-BEWalking'!S30</f>
        <v>0</v>
      </c>
      <c r="I30" s="5" t="e">
        <f t="shared" si="0"/>
        <v>#REF!</v>
      </c>
      <c r="K30" s="25"/>
      <c r="L30" s="4" t="s">
        <v>20</v>
      </c>
      <c r="M30" s="5">
        <f>'BE-HE_P1toP2'!AA36</f>
        <v>63.018538000000007</v>
      </c>
      <c r="N30" s="5" t="e">
        <f>#REF!</f>
        <v>#REF!</v>
      </c>
      <c r="O30" s="5">
        <f>'BE-BE_P1toP2'!AA36</f>
        <v>63.119157200000004</v>
      </c>
      <c r="P30" s="5" t="e">
        <f>#REF!</f>
        <v>#REF!</v>
      </c>
      <c r="Q30" s="5">
        <f>'HE-BEWalking'!AA30</f>
        <v>0</v>
      </c>
      <c r="R30" s="5" t="e">
        <f t="shared" si="1"/>
        <v>#REF!</v>
      </c>
      <c r="T30" s="25"/>
      <c r="U30" s="4" t="s">
        <v>20</v>
      </c>
      <c r="V30" s="5" t="str">
        <f>'BE-HE_P1toP2'!AJ36</f>
        <v>checked</v>
      </c>
      <c r="W30" s="5" t="e">
        <f>#REF!</f>
        <v>#REF!</v>
      </c>
      <c r="X30" s="5" t="str">
        <f>'BE-BE_P1toP2'!AJ36</f>
        <v>checked</v>
      </c>
      <c r="Y30" s="5" t="e">
        <f>#REF!</f>
        <v>#REF!</v>
      </c>
      <c r="Z30" s="5">
        <f>'HE-BEWalking'!AJ30</f>
        <v>0</v>
      </c>
      <c r="AA30" s="5" t="e">
        <f t="shared" si="3"/>
        <v>#REF!</v>
      </c>
    </row>
    <row r="31" spans="2:27" ht="15" customHeight="1" thickBot="1" x14ac:dyDescent="0.4">
      <c r="B31" s="26" t="s">
        <v>23</v>
      </c>
      <c r="C31" s="27"/>
      <c r="D31" s="7">
        <f>'BE-HE_P1toP2'!S37</f>
        <v>277.22238399999998</v>
      </c>
      <c r="E31" s="7" t="e">
        <f>#REF!</f>
        <v>#REF!</v>
      </c>
      <c r="F31" s="7">
        <f>'BE-BE_P1toP2'!S37</f>
        <v>296.29962</v>
      </c>
      <c r="G31" s="7" t="e">
        <f>#REF!</f>
        <v>#REF!</v>
      </c>
      <c r="H31" s="7">
        <f>'HE-BEWalking'!S31</f>
        <v>0</v>
      </c>
      <c r="I31" s="7" t="e">
        <f t="shared" si="0"/>
        <v>#REF!</v>
      </c>
      <c r="K31" s="26" t="s">
        <v>23</v>
      </c>
      <c r="L31" s="27"/>
      <c r="M31" s="7">
        <f>'BE-HE_P1toP2'!AA37</f>
        <v>172.1276</v>
      </c>
      <c r="N31" s="7" t="e">
        <f>#REF!</f>
        <v>#REF!</v>
      </c>
      <c r="O31" s="7">
        <f>'BE-BE_P1toP2'!AA37</f>
        <v>186.89988349999999</v>
      </c>
      <c r="P31" s="7" t="e">
        <f>#REF!</f>
        <v>#REF!</v>
      </c>
      <c r="Q31" s="7">
        <f>'HE-BEWalking'!AA31</f>
        <v>0</v>
      </c>
      <c r="R31" s="7" t="e">
        <f t="shared" si="1"/>
        <v>#REF!</v>
      </c>
      <c r="T31" s="26" t="s">
        <v>23</v>
      </c>
      <c r="U31" s="27"/>
      <c r="V31" s="7" t="str">
        <f>'BE-HE_P1toP2'!AJ37</f>
        <v>checked</v>
      </c>
      <c r="W31" s="7" t="e">
        <f>#REF!</f>
        <v>#REF!</v>
      </c>
      <c r="X31" s="7" t="str">
        <f>'BE-BE_P1toP2'!AJ37</f>
        <v>checked</v>
      </c>
      <c r="Y31" s="7" t="e">
        <f>#REF!</f>
        <v>#REF!</v>
      </c>
      <c r="Z31" s="7">
        <f>'HE-BEWalking'!AJ31</f>
        <v>0</v>
      </c>
      <c r="AA31" s="7" t="e">
        <f t="shared" si="3"/>
        <v>#REF!</v>
      </c>
    </row>
    <row r="33" spans="1:27" ht="15" thickBot="1" x14ac:dyDescent="0.4"/>
    <row r="34" spans="1:27" ht="23.5" thickBot="1" x14ac:dyDescent="0.4">
      <c r="B34" s="34" t="s">
        <v>0</v>
      </c>
      <c r="C34" s="35"/>
      <c r="D34" s="1" t="s">
        <v>1</v>
      </c>
      <c r="E34" s="1" t="s">
        <v>24</v>
      </c>
      <c r="F34" s="1" t="s">
        <v>25</v>
      </c>
      <c r="G34" s="1" t="s">
        <v>26</v>
      </c>
      <c r="H34" s="1" t="s">
        <v>36</v>
      </c>
      <c r="I34" s="1" t="s">
        <v>27</v>
      </c>
      <c r="K34" s="34" t="s">
        <v>0</v>
      </c>
      <c r="L34" s="35"/>
      <c r="M34" s="1" t="s">
        <v>1</v>
      </c>
      <c r="N34" s="1" t="s">
        <v>24</v>
      </c>
      <c r="O34" s="1" t="s">
        <v>25</v>
      </c>
      <c r="P34" s="1" t="s">
        <v>26</v>
      </c>
      <c r="Q34" s="1" t="s">
        <v>36</v>
      </c>
      <c r="R34" s="1" t="s">
        <v>27</v>
      </c>
      <c r="T34" s="34" t="s">
        <v>0</v>
      </c>
      <c r="U34" s="35"/>
      <c r="V34" s="1" t="s">
        <v>1</v>
      </c>
      <c r="W34" s="1" t="s">
        <v>24</v>
      </c>
      <c r="X34" s="1" t="s">
        <v>25</v>
      </c>
      <c r="Y34" s="1" t="s">
        <v>26</v>
      </c>
      <c r="Z34" s="1" t="s">
        <v>36</v>
      </c>
      <c r="AA34" s="1" t="s">
        <v>27</v>
      </c>
    </row>
    <row r="35" spans="1:27" ht="15" thickBot="1" x14ac:dyDescent="0.4">
      <c r="A35" s="2" t="s">
        <v>28</v>
      </c>
      <c r="B35" s="32" t="s">
        <v>3</v>
      </c>
      <c r="C35" s="33"/>
      <c r="D35" s="3"/>
      <c r="E35" s="3"/>
      <c r="F35" s="3"/>
      <c r="G35" s="3"/>
      <c r="H35" s="3"/>
      <c r="I35" s="3"/>
      <c r="J35" s="2" t="s">
        <v>28</v>
      </c>
      <c r="K35" s="32" t="s">
        <v>3</v>
      </c>
      <c r="L35" s="33"/>
      <c r="M35" s="3"/>
      <c r="N35" s="3"/>
      <c r="O35" s="3"/>
      <c r="P35" s="3"/>
      <c r="Q35" s="3"/>
      <c r="R35" s="3"/>
      <c r="S35" s="2" t="s">
        <v>28</v>
      </c>
      <c r="T35" s="32" t="s">
        <v>3</v>
      </c>
      <c r="U35" s="33"/>
      <c r="V35" s="3"/>
      <c r="W35" s="3"/>
      <c r="X35" s="3"/>
      <c r="Y35" s="3"/>
      <c r="Z35" s="3"/>
      <c r="AA35" s="3"/>
    </row>
    <row r="36" spans="1:27" ht="15" thickBot="1" x14ac:dyDescent="0.4">
      <c r="A36" s="6" t="s">
        <v>44</v>
      </c>
      <c r="B36" s="30" t="s">
        <v>4</v>
      </c>
      <c r="C36" s="31"/>
      <c r="D36" s="3"/>
      <c r="E36" s="3"/>
      <c r="F36" s="3"/>
      <c r="G36" s="3"/>
      <c r="H36" s="3"/>
      <c r="I36" s="3"/>
      <c r="J36" s="6" t="s">
        <v>30</v>
      </c>
      <c r="K36" s="30" t="s">
        <v>4</v>
      </c>
      <c r="L36" s="31"/>
      <c r="M36" s="3"/>
      <c r="N36" s="3"/>
      <c r="O36" s="3"/>
      <c r="P36" s="3"/>
      <c r="Q36" s="3"/>
      <c r="R36" s="3"/>
      <c r="S36" s="6" t="s">
        <v>45</v>
      </c>
      <c r="T36" s="30" t="s">
        <v>4</v>
      </c>
      <c r="U36" s="31"/>
      <c r="V36" s="3"/>
      <c r="W36" s="3"/>
      <c r="X36" s="3"/>
      <c r="Y36" s="3"/>
      <c r="Z36" s="3"/>
      <c r="AA36" s="3"/>
    </row>
    <row r="37" spans="1:27" ht="15" thickBot="1" x14ac:dyDescent="0.4">
      <c r="B37" s="32" t="s">
        <v>5</v>
      </c>
      <c r="C37" s="33"/>
      <c r="D37" s="3"/>
      <c r="E37" s="3"/>
      <c r="F37" s="3"/>
      <c r="G37" s="3"/>
      <c r="H37" s="3"/>
      <c r="I37" s="3"/>
      <c r="K37" s="32" t="s">
        <v>5</v>
      </c>
      <c r="L37" s="33"/>
      <c r="M37" s="3"/>
      <c r="N37" s="3"/>
      <c r="O37" s="3"/>
      <c r="P37" s="3"/>
      <c r="Q37" s="3"/>
      <c r="R37" s="3"/>
      <c r="T37" s="32" t="s">
        <v>5</v>
      </c>
      <c r="U37" s="33"/>
      <c r="V37" s="3"/>
      <c r="W37" s="3"/>
      <c r="X37" s="3"/>
      <c r="Y37" s="3"/>
      <c r="Z37" s="3"/>
      <c r="AA37" s="3"/>
    </row>
    <row r="38" spans="1:27" ht="15" thickBot="1" x14ac:dyDescent="0.4">
      <c r="B38" s="30" t="s">
        <v>6</v>
      </c>
      <c r="C38" s="31"/>
      <c r="D38" s="3"/>
      <c r="E38" s="3"/>
      <c r="F38" s="3"/>
      <c r="G38" s="3"/>
      <c r="H38" s="3"/>
      <c r="I38" s="3"/>
      <c r="K38" s="30" t="s">
        <v>6</v>
      </c>
      <c r="L38" s="31"/>
      <c r="M38" s="3"/>
      <c r="N38" s="3"/>
      <c r="O38" s="3"/>
      <c r="P38" s="3"/>
      <c r="Q38" s="3"/>
      <c r="R38" s="3"/>
      <c r="T38" s="30" t="s">
        <v>6</v>
      </c>
      <c r="U38" s="31"/>
      <c r="V38" s="3"/>
      <c r="W38" s="3"/>
      <c r="X38" s="3"/>
      <c r="Y38" s="3"/>
      <c r="Z38" s="3"/>
      <c r="AA38" s="3"/>
    </row>
    <row r="39" spans="1:27" ht="15" thickBot="1" x14ac:dyDescent="0.4">
      <c r="B39" s="32" t="s">
        <v>7</v>
      </c>
      <c r="C39" s="33"/>
      <c r="D39" s="3"/>
      <c r="E39" s="3"/>
      <c r="F39" s="3"/>
      <c r="G39" s="3"/>
      <c r="H39" s="3"/>
      <c r="I39" s="3"/>
      <c r="K39" s="32" t="s">
        <v>7</v>
      </c>
      <c r="L39" s="33"/>
      <c r="M39" s="3"/>
      <c r="N39" s="3"/>
      <c r="O39" s="3"/>
      <c r="P39" s="3"/>
      <c r="Q39" s="3"/>
      <c r="R39" s="3"/>
      <c r="T39" s="32" t="s">
        <v>7</v>
      </c>
      <c r="U39" s="33"/>
      <c r="V39" s="3"/>
      <c r="W39" s="3"/>
      <c r="X39" s="3"/>
      <c r="Y39" s="3"/>
      <c r="Z39" s="3"/>
      <c r="AA39" s="3"/>
    </row>
    <row r="40" spans="1:27" ht="15" thickBot="1" x14ac:dyDescent="0.4">
      <c r="B40" s="30" t="s">
        <v>8</v>
      </c>
      <c r="C40" s="31"/>
      <c r="D40" s="3"/>
      <c r="E40" s="3"/>
      <c r="F40" s="3"/>
      <c r="G40" s="3"/>
      <c r="H40" s="3"/>
      <c r="I40" s="3"/>
      <c r="K40" s="30" t="s">
        <v>8</v>
      </c>
      <c r="L40" s="31"/>
      <c r="M40" s="3"/>
      <c r="N40" s="3"/>
      <c r="O40" s="3"/>
      <c r="P40" s="3"/>
      <c r="Q40" s="3"/>
      <c r="R40" s="3"/>
      <c r="T40" s="30" t="s">
        <v>8</v>
      </c>
      <c r="U40" s="31"/>
      <c r="V40" s="3"/>
      <c r="W40" s="3"/>
      <c r="X40" s="3"/>
      <c r="Y40" s="3"/>
      <c r="Z40" s="3"/>
      <c r="AA40" s="3"/>
    </row>
    <row r="41" spans="1:27" ht="15" thickBot="1" x14ac:dyDescent="0.4">
      <c r="B41" s="32" t="s">
        <v>9</v>
      </c>
      <c r="C41" s="33"/>
      <c r="D41" s="3"/>
      <c r="E41" s="3"/>
      <c r="F41" s="3"/>
      <c r="G41" s="3"/>
      <c r="H41" s="3"/>
      <c r="I41" s="3"/>
      <c r="K41" s="32" t="s">
        <v>9</v>
      </c>
      <c r="L41" s="33"/>
      <c r="M41" s="3"/>
      <c r="N41" s="3"/>
      <c r="O41" s="3"/>
      <c r="P41" s="3"/>
      <c r="Q41" s="3"/>
      <c r="R41" s="3"/>
      <c r="T41" s="32" t="s">
        <v>9</v>
      </c>
      <c r="U41" s="33"/>
      <c r="V41" s="3"/>
      <c r="W41" s="3"/>
      <c r="X41" s="3"/>
      <c r="Y41" s="3"/>
      <c r="Z41" s="3"/>
      <c r="AA41" s="3"/>
    </row>
    <row r="42" spans="1:27" ht="15" thickBot="1" x14ac:dyDescent="0.4">
      <c r="B42" s="30" t="s">
        <v>10</v>
      </c>
      <c r="C42" s="31"/>
      <c r="D42" s="3"/>
      <c r="E42" s="3"/>
      <c r="F42" s="3"/>
      <c r="G42" s="3"/>
      <c r="H42" s="3"/>
      <c r="I42" s="3"/>
      <c r="K42" s="30" t="s">
        <v>10</v>
      </c>
      <c r="L42" s="31"/>
      <c r="M42" s="3"/>
      <c r="N42" s="3"/>
      <c r="O42" s="3"/>
      <c r="P42" s="3"/>
      <c r="Q42" s="3"/>
      <c r="R42" s="3"/>
      <c r="T42" s="30" t="s">
        <v>10</v>
      </c>
      <c r="U42" s="31"/>
      <c r="V42" s="3"/>
      <c r="W42" s="3"/>
      <c r="X42" s="3"/>
      <c r="Y42" s="3"/>
      <c r="Z42" s="3"/>
      <c r="AA42" s="3"/>
    </row>
    <row r="43" spans="1:27" ht="15" thickBot="1" x14ac:dyDescent="0.4">
      <c r="B43" s="32" t="s">
        <v>11</v>
      </c>
      <c r="C43" s="33"/>
      <c r="D43" s="3"/>
      <c r="E43" s="3"/>
      <c r="F43" s="3"/>
      <c r="G43" s="3"/>
      <c r="H43" s="3"/>
      <c r="I43" s="3"/>
      <c r="K43" s="32" t="s">
        <v>11</v>
      </c>
      <c r="L43" s="33"/>
      <c r="M43" s="3"/>
      <c r="N43" s="3"/>
      <c r="O43" s="3"/>
      <c r="P43" s="3"/>
      <c r="Q43" s="3"/>
      <c r="R43" s="3"/>
      <c r="T43" s="32" t="s">
        <v>11</v>
      </c>
      <c r="U43" s="33"/>
      <c r="V43" s="3"/>
      <c r="W43" s="3"/>
      <c r="X43" s="3"/>
      <c r="Y43" s="3"/>
      <c r="Z43" s="3"/>
      <c r="AA43" s="3"/>
    </row>
    <row r="44" spans="1:27" ht="15" thickBot="1" x14ac:dyDescent="0.4">
      <c r="B44" s="30" t="s">
        <v>12</v>
      </c>
      <c r="C44" s="31"/>
      <c r="D44" s="3"/>
      <c r="E44" s="3"/>
      <c r="F44" s="3"/>
      <c r="G44" s="3"/>
      <c r="H44" s="3"/>
      <c r="I44" s="3"/>
      <c r="K44" s="30" t="s">
        <v>12</v>
      </c>
      <c r="L44" s="31"/>
      <c r="M44" s="3"/>
      <c r="N44" s="3"/>
      <c r="O44" s="3"/>
      <c r="P44" s="3"/>
      <c r="Q44" s="3"/>
      <c r="R44" s="3"/>
      <c r="T44" s="30" t="s">
        <v>12</v>
      </c>
      <c r="U44" s="31"/>
      <c r="V44" s="3"/>
      <c r="W44" s="3"/>
      <c r="X44" s="3"/>
      <c r="Y44" s="3"/>
      <c r="Z44" s="3"/>
      <c r="AA44" s="3"/>
    </row>
    <row r="45" spans="1:27" ht="15" thickBot="1" x14ac:dyDescent="0.4">
      <c r="B45" s="32" t="s">
        <v>13</v>
      </c>
      <c r="C45" s="33"/>
      <c r="D45" s="3"/>
      <c r="E45" s="3"/>
      <c r="F45" s="3"/>
      <c r="G45" s="3"/>
      <c r="H45" s="3"/>
      <c r="I45" s="3"/>
      <c r="K45" s="32" t="s">
        <v>13</v>
      </c>
      <c r="L45" s="33"/>
      <c r="M45" s="3"/>
      <c r="N45" s="3"/>
      <c r="O45" s="3"/>
      <c r="P45" s="3"/>
      <c r="Q45" s="3"/>
      <c r="R45" s="3"/>
      <c r="T45" s="32" t="s">
        <v>13</v>
      </c>
      <c r="U45" s="33"/>
      <c r="V45" s="3"/>
      <c r="W45" s="3"/>
      <c r="X45" s="3"/>
      <c r="Y45" s="3"/>
      <c r="Z45" s="3"/>
      <c r="AA45" s="3"/>
    </row>
    <row r="46" spans="1:27" ht="15" thickBot="1" x14ac:dyDescent="0.4">
      <c r="B46" s="30" t="s">
        <v>14</v>
      </c>
      <c r="C46" s="31"/>
      <c r="D46" s="3"/>
      <c r="E46" s="3"/>
      <c r="F46" s="3"/>
      <c r="G46" s="3"/>
      <c r="H46" s="3"/>
      <c r="I46" s="3"/>
      <c r="K46" s="30" t="s">
        <v>14</v>
      </c>
      <c r="L46" s="31"/>
      <c r="M46" s="3"/>
      <c r="N46" s="3"/>
      <c r="O46" s="3"/>
      <c r="P46" s="3"/>
      <c r="Q46" s="3"/>
      <c r="R46" s="3"/>
      <c r="T46" s="30" t="s">
        <v>14</v>
      </c>
      <c r="U46" s="31"/>
      <c r="V46" s="3"/>
      <c r="W46" s="3"/>
      <c r="X46" s="3"/>
      <c r="Y46" s="3"/>
      <c r="Z46" s="3"/>
      <c r="AA46" s="3"/>
    </row>
    <row r="47" spans="1:27" ht="15" thickBot="1" x14ac:dyDescent="0.4">
      <c r="B47" s="32" t="s">
        <v>15</v>
      </c>
      <c r="C47" s="33"/>
      <c r="D47" s="3"/>
      <c r="E47" s="3"/>
      <c r="F47" s="3"/>
      <c r="G47" s="3"/>
      <c r="H47" s="3"/>
      <c r="I47" s="3"/>
      <c r="K47" s="32" t="s">
        <v>15</v>
      </c>
      <c r="L47" s="33"/>
      <c r="M47" s="3"/>
      <c r="N47" s="3"/>
      <c r="O47" s="3"/>
      <c r="P47" s="3"/>
      <c r="Q47" s="3"/>
      <c r="R47" s="3"/>
      <c r="T47" s="32" t="s">
        <v>15</v>
      </c>
      <c r="U47" s="33"/>
      <c r="V47" s="3"/>
      <c r="W47" s="3"/>
      <c r="X47" s="3"/>
      <c r="Y47" s="3"/>
      <c r="Z47" s="3"/>
      <c r="AA47" s="3"/>
    </row>
    <row r="48" spans="1:27" ht="15" thickBot="1" x14ac:dyDescent="0.4">
      <c r="B48" s="30" t="s">
        <v>16</v>
      </c>
      <c r="C48" s="31"/>
      <c r="D48" s="3"/>
      <c r="E48" s="3"/>
      <c r="F48" s="3"/>
      <c r="G48" s="3"/>
      <c r="H48" s="3"/>
      <c r="I48" s="3"/>
      <c r="K48" s="30" t="s">
        <v>16</v>
      </c>
      <c r="L48" s="31"/>
      <c r="M48" s="3"/>
      <c r="N48" s="3"/>
      <c r="O48" s="3"/>
      <c r="P48" s="3"/>
      <c r="Q48" s="3"/>
      <c r="R48" s="3"/>
      <c r="T48" s="30" t="s">
        <v>16</v>
      </c>
      <c r="U48" s="31"/>
      <c r="V48" s="3"/>
      <c r="W48" s="3"/>
      <c r="X48" s="3"/>
      <c r="Y48" s="3"/>
      <c r="Z48" s="3"/>
      <c r="AA48" s="3"/>
    </row>
    <row r="49" spans="2:27" ht="15" thickBot="1" x14ac:dyDescent="0.4">
      <c r="B49" s="32" t="s">
        <v>17</v>
      </c>
      <c r="C49" s="33"/>
      <c r="D49" s="3"/>
      <c r="E49" s="3"/>
      <c r="F49" s="3"/>
      <c r="G49" s="3"/>
      <c r="H49" s="3"/>
      <c r="I49" s="3"/>
      <c r="K49" s="32" t="s">
        <v>17</v>
      </c>
      <c r="L49" s="33"/>
      <c r="M49" s="3"/>
      <c r="N49" s="3"/>
      <c r="O49" s="3"/>
      <c r="P49" s="3"/>
      <c r="Q49" s="3"/>
      <c r="R49" s="3"/>
      <c r="T49" s="32" t="s">
        <v>17</v>
      </c>
      <c r="U49" s="33"/>
      <c r="V49" s="3"/>
      <c r="W49" s="3"/>
      <c r="X49" s="3"/>
      <c r="Y49" s="3"/>
      <c r="Z49" s="3"/>
      <c r="AA49" s="3"/>
    </row>
    <row r="50" spans="2:27" ht="15" thickBot="1" x14ac:dyDescent="0.4">
      <c r="B50" s="30" t="s">
        <v>18</v>
      </c>
      <c r="C50" s="31"/>
      <c r="D50" s="3"/>
      <c r="E50" s="3"/>
      <c r="F50" s="3"/>
      <c r="G50" s="3"/>
      <c r="H50" s="3"/>
      <c r="I50" s="3"/>
      <c r="K50" s="30" t="s">
        <v>18</v>
      </c>
      <c r="L50" s="31"/>
      <c r="M50" s="3"/>
      <c r="N50" s="3"/>
      <c r="O50" s="3"/>
      <c r="P50" s="3"/>
      <c r="Q50" s="3"/>
      <c r="R50" s="3"/>
      <c r="T50" s="30" t="s">
        <v>18</v>
      </c>
      <c r="U50" s="31"/>
      <c r="V50" s="3"/>
      <c r="W50" s="3"/>
      <c r="X50" s="3"/>
      <c r="Y50" s="3"/>
      <c r="Z50" s="3"/>
      <c r="AA50" s="3"/>
    </row>
    <row r="51" spans="2:27" ht="15" customHeight="1" thickBot="1" x14ac:dyDescent="0.4">
      <c r="B51" s="28" t="s">
        <v>31</v>
      </c>
      <c r="C51" s="8" t="s">
        <v>19</v>
      </c>
      <c r="D51" s="9">
        <f>'BE-HE_P1toP2'!S57</f>
        <v>314.57234509090904</v>
      </c>
      <c r="E51" s="9" t="e">
        <f>#REF!</f>
        <v>#REF!</v>
      </c>
      <c r="F51" s="9">
        <f>'BE-BE_P1toP2'!S57</f>
        <v>271.87664290909089</v>
      </c>
      <c r="G51" s="9" t="e">
        <f>#REF!</f>
        <v>#REF!</v>
      </c>
      <c r="H51" s="9">
        <f>'HE-BEWalking'!S51</f>
        <v>0</v>
      </c>
      <c r="I51" s="9" t="e">
        <f>MAX(D51:H51)</f>
        <v>#REF!</v>
      </c>
      <c r="K51" s="28" t="s">
        <v>31</v>
      </c>
      <c r="L51" s="8" t="s">
        <v>19</v>
      </c>
      <c r="M51" s="9">
        <f>'BE-HE_P1toP2'!AA57</f>
        <v>64.582874181818184</v>
      </c>
      <c r="N51" s="9" t="e">
        <f>#REF!</f>
        <v>#REF!</v>
      </c>
      <c r="O51" s="9">
        <f>'BE-BE_P1toP2'!AA57</f>
        <v>65.880890181818174</v>
      </c>
      <c r="P51" s="9" t="e">
        <f>#REF!</f>
        <v>#REF!</v>
      </c>
      <c r="Q51" s="9">
        <f>'HE-BEWalking'!AA51</f>
        <v>0</v>
      </c>
      <c r="R51" s="9" t="e">
        <f>MAX(M51:Q51)</f>
        <v>#REF!</v>
      </c>
      <c r="T51" s="28" t="s">
        <v>31</v>
      </c>
      <c r="U51" s="8" t="s">
        <v>19</v>
      </c>
      <c r="V51" s="9" t="str">
        <f>'BE-HE_P1toP2'!AJ57</f>
        <v>checked</v>
      </c>
      <c r="W51" s="9" t="e">
        <f>#REF!</f>
        <v>#REF!</v>
      </c>
      <c r="X51" s="9" t="str">
        <f>'BE-BE_P1toP2'!AJ57</f>
        <v>checked</v>
      </c>
      <c r="Y51" s="9" t="e">
        <f>#REF!</f>
        <v>#REF!</v>
      </c>
      <c r="Z51" s="9">
        <f>'HE-BEWalking'!AJ51</f>
        <v>0</v>
      </c>
      <c r="AA51" s="9" t="e">
        <f>MAX(V51:Z51)</f>
        <v>#REF!</v>
      </c>
    </row>
    <row r="52" spans="2:27" ht="23.5" thickBot="1" x14ac:dyDescent="0.4">
      <c r="B52" s="29"/>
      <c r="C52" s="4" t="s">
        <v>20</v>
      </c>
      <c r="D52" s="5">
        <f>'BE-HE_P1toP2'!S59</f>
        <v>285.51560290909089</v>
      </c>
      <c r="E52" s="5" t="e">
        <f>#REF!</f>
        <v>#REF!</v>
      </c>
      <c r="F52" s="5">
        <f>'BE-BE_P1toP2'!S59</f>
        <v>254.02345745454545</v>
      </c>
      <c r="G52" s="5" t="e">
        <f>#REF!</f>
        <v>#REF!</v>
      </c>
      <c r="H52" s="5">
        <f>'HE-BEWalking'!S52</f>
        <v>0</v>
      </c>
      <c r="I52" s="5" t="e">
        <f t="shared" ref="I52:I64" si="4">MAX(D52:H52)</f>
        <v>#REF!</v>
      </c>
      <c r="K52" s="29"/>
      <c r="L52" s="4" t="s">
        <v>20</v>
      </c>
      <c r="M52" s="5">
        <f>'BE-HE_P1toP2'!AA59</f>
        <v>65.952314181818181</v>
      </c>
      <c r="N52" s="5" t="e">
        <f>#REF!</f>
        <v>#REF!</v>
      </c>
      <c r="O52" s="5">
        <f>'BE-BE_P1toP2'!AA59</f>
        <v>68.667106909090904</v>
      </c>
      <c r="P52" s="5" t="e">
        <f>#REF!</f>
        <v>#REF!</v>
      </c>
      <c r="Q52" s="5">
        <f>'HE-BEWalking'!AA52</f>
        <v>0</v>
      </c>
      <c r="R52" s="5" t="e">
        <f t="shared" ref="R52:R64" si="5">MAX(M52:Q52)</f>
        <v>#REF!</v>
      </c>
      <c r="T52" s="29"/>
      <c r="U52" s="4" t="s">
        <v>20</v>
      </c>
      <c r="V52" s="5" t="str">
        <f>'BE-HE_P1toP2'!AJ59</f>
        <v>checked</v>
      </c>
      <c r="W52" s="5" t="e">
        <f>#REF!</f>
        <v>#REF!</v>
      </c>
      <c r="X52" s="5" t="str">
        <f>'BE-BE_P1toP2'!AJ59</f>
        <v>checked</v>
      </c>
      <c r="Y52" s="5" t="e">
        <f>#REF!</f>
        <v>#REF!</v>
      </c>
      <c r="Z52" s="5">
        <f>'HE-BEWalking'!AJ52</f>
        <v>0</v>
      </c>
      <c r="AA52" s="5" t="e">
        <f t="shared" ref="AA52:AA64" si="6">MAX(V52:Z52)</f>
        <v>#REF!</v>
      </c>
    </row>
    <row r="53" spans="2:27" ht="15" customHeight="1" thickBot="1" x14ac:dyDescent="0.4">
      <c r="B53" s="24" t="s">
        <v>32</v>
      </c>
      <c r="C53" s="8" t="s">
        <v>19</v>
      </c>
      <c r="D53" s="9">
        <f>'BE-HE_P1toP2'!S60</f>
        <v>89.659636363636366</v>
      </c>
      <c r="E53" s="9" t="e">
        <f>#REF!</f>
        <v>#REF!</v>
      </c>
      <c r="F53" s="9">
        <f>'BE-BE_P1toP2'!S60</f>
        <v>58.223895272727269</v>
      </c>
      <c r="G53" s="9" t="e">
        <f>#REF!</f>
        <v>#REF!</v>
      </c>
      <c r="H53" s="9">
        <f>'HE-BEWalking'!S53</f>
        <v>0</v>
      </c>
      <c r="I53" s="9" t="e">
        <f t="shared" si="4"/>
        <v>#REF!</v>
      </c>
      <c r="K53" s="24" t="s">
        <v>32</v>
      </c>
      <c r="L53" s="8" t="s">
        <v>19</v>
      </c>
      <c r="M53" s="9">
        <f>'BE-HE_P1toP2'!AA60</f>
        <v>44.131693090909081</v>
      </c>
      <c r="N53" s="9" t="e">
        <f>#REF!</f>
        <v>#REF!</v>
      </c>
      <c r="O53" s="9">
        <f>'BE-BE_P1toP2'!AA60</f>
        <v>44.131693090909081</v>
      </c>
      <c r="P53" s="9" t="e">
        <f>#REF!</f>
        <v>#REF!</v>
      </c>
      <c r="Q53" s="9">
        <f>'HE-BEWalking'!AA53</f>
        <v>0</v>
      </c>
      <c r="R53" s="9" t="e">
        <f t="shared" si="5"/>
        <v>#REF!</v>
      </c>
      <c r="T53" s="24" t="s">
        <v>32</v>
      </c>
      <c r="U53" s="8" t="s">
        <v>19</v>
      </c>
      <c r="V53" s="9" t="str">
        <f>'BE-HE_P1toP2'!AJ60</f>
        <v>checked</v>
      </c>
      <c r="W53" s="9" t="e">
        <f>#REF!</f>
        <v>#REF!</v>
      </c>
      <c r="X53" s="9" t="str">
        <f>'BE-BE_P1toP2'!AJ60</f>
        <v>checked</v>
      </c>
      <c r="Y53" s="9" t="e">
        <f>#REF!</f>
        <v>#REF!</v>
      </c>
      <c r="Z53" s="9">
        <f>'HE-BEWalking'!AJ53</f>
        <v>0</v>
      </c>
      <c r="AA53" s="9" t="e">
        <f t="shared" si="6"/>
        <v>#REF!</v>
      </c>
    </row>
    <row r="54" spans="2:27" ht="23.5" thickBot="1" x14ac:dyDescent="0.4">
      <c r="B54" s="25"/>
      <c r="C54" s="4" t="s">
        <v>20</v>
      </c>
      <c r="D54" s="5">
        <f>'BE-HE_P1toP2'!S62</f>
        <v>56.01832145454545</v>
      </c>
      <c r="E54" s="5" t="e">
        <f>#REF!</f>
        <v>#REF!</v>
      </c>
      <c r="F54" s="5">
        <f>'BE-BE_P1toP2'!S62</f>
        <v>55.157903999999995</v>
      </c>
      <c r="G54" s="5" t="e">
        <f>#REF!</f>
        <v>#REF!</v>
      </c>
      <c r="H54" s="5">
        <f>'HE-BEWalking'!S54</f>
        <v>0</v>
      </c>
      <c r="I54" s="5" t="e">
        <f t="shared" si="4"/>
        <v>#REF!</v>
      </c>
      <c r="K54" s="25"/>
      <c r="L54" s="4" t="s">
        <v>20</v>
      </c>
      <c r="M54" s="5">
        <f>'BE-HE_P1toP2'!AA62</f>
        <v>42.433754181818173</v>
      </c>
      <c r="N54" s="5" t="e">
        <f>#REF!</f>
        <v>#REF!</v>
      </c>
      <c r="O54" s="5">
        <f>'BE-BE_P1toP2'!AA62</f>
        <v>42.433754181818173</v>
      </c>
      <c r="P54" s="5" t="e">
        <f>#REF!</f>
        <v>#REF!</v>
      </c>
      <c r="Q54" s="5">
        <f>'HE-BEWalking'!AA54</f>
        <v>0</v>
      </c>
      <c r="R54" s="5" t="e">
        <f t="shared" si="5"/>
        <v>#REF!</v>
      </c>
      <c r="T54" s="25"/>
      <c r="U54" s="4" t="s">
        <v>20</v>
      </c>
      <c r="V54" s="5" t="str">
        <f>'BE-HE_P1toP2'!AJ62</f>
        <v>checked</v>
      </c>
      <c r="W54" s="5" t="e">
        <f>#REF!</f>
        <v>#REF!</v>
      </c>
      <c r="X54" s="5" t="str">
        <f>'BE-BE_P1toP2'!AJ62</f>
        <v>checked</v>
      </c>
      <c r="Y54" s="5" t="e">
        <f>#REF!</f>
        <v>#REF!</v>
      </c>
      <c r="Z54" s="5">
        <f>'HE-BEWalking'!AJ54</f>
        <v>0</v>
      </c>
      <c r="AA54" s="5" t="e">
        <f t="shared" si="6"/>
        <v>#REF!</v>
      </c>
    </row>
    <row r="55" spans="2:27" ht="15" customHeight="1" thickBot="1" x14ac:dyDescent="0.4">
      <c r="B55" s="24" t="s">
        <v>33</v>
      </c>
      <c r="C55" s="8" t="s">
        <v>19</v>
      </c>
      <c r="D55" s="9">
        <f>'BE-HE_P1toP2'!S63</f>
        <v>231.69428945454544</v>
      </c>
      <c r="E55" s="9" t="e">
        <f>#REF!</f>
        <v>#REF!</v>
      </c>
      <c r="F55" s="9">
        <f>'BE-BE_P1toP2'!S63</f>
        <v>211.88927999999999</v>
      </c>
      <c r="G55" s="9" t="e">
        <f>#REF!</f>
        <v>#REF!</v>
      </c>
      <c r="H55" s="9">
        <f>'HE-BEWalking'!S55</f>
        <v>0</v>
      </c>
      <c r="I55" s="9" t="e">
        <f t="shared" si="4"/>
        <v>#REF!</v>
      </c>
      <c r="K55" s="24" t="s">
        <v>33</v>
      </c>
      <c r="L55" s="8" t="s">
        <v>19</v>
      </c>
      <c r="M55" s="9">
        <f>'BE-HE_P1toP2'!AA63</f>
        <v>46.188218181818179</v>
      </c>
      <c r="N55" s="9" t="e">
        <f>#REF!</f>
        <v>#REF!</v>
      </c>
      <c r="O55" s="9">
        <f>'BE-BE_P1toP2'!AA63</f>
        <v>46.188218181818179</v>
      </c>
      <c r="P55" s="9" t="e">
        <f>#REF!</f>
        <v>#REF!</v>
      </c>
      <c r="Q55" s="9">
        <f>'HE-BEWalking'!AA55</f>
        <v>0</v>
      </c>
      <c r="R55" s="9" t="e">
        <f t="shared" si="5"/>
        <v>#REF!</v>
      </c>
      <c r="T55" s="24" t="s">
        <v>33</v>
      </c>
      <c r="U55" s="8" t="s">
        <v>19</v>
      </c>
      <c r="V55" s="9" t="str">
        <f>'BE-HE_P1toP2'!AJ63</f>
        <v>checked</v>
      </c>
      <c r="W55" s="9" t="e">
        <f>#REF!</f>
        <v>#REF!</v>
      </c>
      <c r="X55" s="9" t="str">
        <f>'BE-BE_P1toP2'!AJ63</f>
        <v>checked</v>
      </c>
      <c r="Y55" s="9" t="e">
        <f>#REF!</f>
        <v>#REF!</v>
      </c>
      <c r="Z55" s="9">
        <f>'HE-BEWalking'!AJ55</f>
        <v>0</v>
      </c>
      <c r="AA55" s="9" t="e">
        <f t="shared" si="6"/>
        <v>#REF!</v>
      </c>
    </row>
    <row r="56" spans="2:27" ht="23.5" thickBot="1" x14ac:dyDescent="0.4">
      <c r="B56" s="25"/>
      <c r="C56" s="4" t="s">
        <v>20</v>
      </c>
      <c r="D56" s="5">
        <f>'BE-HE_P1toP2'!S65</f>
        <v>239.4992378181818</v>
      </c>
      <c r="E56" s="5" t="e">
        <f>#REF!</f>
        <v>#REF!</v>
      </c>
      <c r="F56" s="5">
        <f>'BE-BE_P1toP2'!S65</f>
        <v>219.00960872727271</v>
      </c>
      <c r="G56" s="5" t="e">
        <f>#REF!</f>
        <v>#REF!</v>
      </c>
      <c r="H56" s="5">
        <f>'HE-BEWalking'!S56</f>
        <v>0</v>
      </c>
      <c r="I56" s="5" t="e">
        <f t="shared" si="4"/>
        <v>#REF!</v>
      </c>
      <c r="K56" s="25"/>
      <c r="L56" s="4" t="s">
        <v>20</v>
      </c>
      <c r="M56" s="5">
        <f>'BE-HE_P1toP2'!AA65</f>
        <v>48.944766545454542</v>
      </c>
      <c r="N56" s="5" t="e">
        <f>#REF!</f>
        <v>#REF!</v>
      </c>
      <c r="O56" s="5">
        <f>'BE-BE_P1toP2'!AA65</f>
        <v>48.944766545454542</v>
      </c>
      <c r="P56" s="5" t="e">
        <f>#REF!</f>
        <v>#REF!</v>
      </c>
      <c r="Q56" s="5">
        <f>'HE-BEWalking'!AA56</f>
        <v>0</v>
      </c>
      <c r="R56" s="5" t="e">
        <f t="shared" si="5"/>
        <v>#REF!</v>
      </c>
      <c r="T56" s="25"/>
      <c r="U56" s="4" t="s">
        <v>20</v>
      </c>
      <c r="V56" s="5" t="str">
        <f>'BE-HE_P1toP2'!AJ65</f>
        <v>checked</v>
      </c>
      <c r="W56" s="5" t="e">
        <f>#REF!</f>
        <v>#REF!</v>
      </c>
      <c r="X56" s="5" t="str">
        <f>'BE-BE_P1toP2'!AJ65</f>
        <v>checked</v>
      </c>
      <c r="Y56" s="5" t="e">
        <f>#REF!</f>
        <v>#REF!</v>
      </c>
      <c r="Z56" s="5">
        <f>'HE-BEWalking'!AJ56</f>
        <v>0</v>
      </c>
      <c r="AA56" s="5" t="e">
        <f t="shared" si="6"/>
        <v>#REF!</v>
      </c>
    </row>
    <row r="57" spans="2:27" ht="15" customHeight="1" thickBot="1" x14ac:dyDescent="0.4">
      <c r="B57" s="26" t="s">
        <v>34</v>
      </c>
      <c r="C57" s="27"/>
      <c r="D57" s="7">
        <f>'BE-HE_P1toP2'!S66</f>
        <v>295.08973800000001</v>
      </c>
      <c r="E57" s="7" t="e">
        <f>#REF!</f>
        <v>#REF!</v>
      </c>
      <c r="F57" s="7">
        <f>'BE-BE_P1toP2'!S66</f>
        <v>315.79848800000002</v>
      </c>
      <c r="G57" s="7" t="e">
        <f>#REF!</f>
        <v>#REF!</v>
      </c>
      <c r="H57" s="7">
        <f>'HE-BEWalking'!S57</f>
        <v>0</v>
      </c>
      <c r="I57" s="7" t="e">
        <f t="shared" si="4"/>
        <v>#REF!</v>
      </c>
      <c r="K57" s="26" t="s">
        <v>34</v>
      </c>
      <c r="L57" s="27"/>
      <c r="M57" s="7">
        <f>'BE-HE_P1toP2'!AA66</f>
        <v>189.05129399999998</v>
      </c>
      <c r="N57" s="7" t="e">
        <f>#REF!</f>
        <v>#REF!</v>
      </c>
      <c r="O57" s="7">
        <f>'BE-BE_P1toP2'!AA66</f>
        <v>205.16565100000003</v>
      </c>
      <c r="P57" s="7" t="e">
        <f>#REF!</f>
        <v>#REF!</v>
      </c>
      <c r="Q57" s="7">
        <f>'HE-BEWalking'!AA57</f>
        <v>0</v>
      </c>
      <c r="R57" s="7" t="e">
        <f t="shared" si="5"/>
        <v>#REF!</v>
      </c>
      <c r="T57" s="26" t="s">
        <v>34</v>
      </c>
      <c r="U57" s="27"/>
      <c r="V57" s="7" t="str">
        <f>'BE-HE_P1toP2'!AJ66</f>
        <v>checked</v>
      </c>
      <c r="W57" s="7" t="e">
        <f>#REF!</f>
        <v>#REF!</v>
      </c>
      <c r="X57" s="7" t="str">
        <f>'BE-BE_P1toP2'!AJ66</f>
        <v>checked</v>
      </c>
      <c r="Y57" s="7" t="e">
        <f>#REF!</f>
        <v>#REF!</v>
      </c>
      <c r="Z57" s="7">
        <f>'HE-BEWalking'!AJ57</f>
        <v>0</v>
      </c>
      <c r="AA57" s="7" t="e">
        <f t="shared" si="6"/>
        <v>#REF!</v>
      </c>
    </row>
    <row r="58" spans="2:27" ht="15" customHeight="1" thickBot="1" x14ac:dyDescent="0.4">
      <c r="B58" s="28" t="s">
        <v>21</v>
      </c>
      <c r="C58" s="8" t="s">
        <v>19</v>
      </c>
      <c r="D58" s="9">
        <f>'BE-HE_P1toP2'!S67</f>
        <v>352.64069999999998</v>
      </c>
      <c r="E58" s="9" t="e">
        <f>#REF!</f>
        <v>#REF!</v>
      </c>
      <c r="F58" s="9">
        <f>'BE-BE_P1toP2'!S67</f>
        <v>305.09144727272729</v>
      </c>
      <c r="G58" s="9" t="e">
        <f>#REF!</f>
        <v>#REF!</v>
      </c>
      <c r="H58" s="9">
        <f>'HE-BEWalking'!S58</f>
        <v>0</v>
      </c>
      <c r="I58" s="9" t="e">
        <f t="shared" si="4"/>
        <v>#REF!</v>
      </c>
      <c r="K58" s="28" t="s">
        <v>21</v>
      </c>
      <c r="L58" s="8" t="s">
        <v>19</v>
      </c>
      <c r="M58" s="9">
        <f>'BE-HE_P1toP2'!AA67</f>
        <v>67.295066181818186</v>
      </c>
      <c r="N58" s="9" t="e">
        <f>#REF!</f>
        <v>#REF!</v>
      </c>
      <c r="O58" s="9">
        <f>'BE-BE_P1toP2'!AA67</f>
        <v>68.625294545454537</v>
      </c>
      <c r="P58" s="9" t="e">
        <f>#REF!</f>
        <v>#REF!</v>
      </c>
      <c r="Q58" s="9">
        <f>'HE-BEWalking'!AA58</f>
        <v>0</v>
      </c>
      <c r="R58" s="9" t="e">
        <f t="shared" si="5"/>
        <v>#REF!</v>
      </c>
      <c r="T58" s="28" t="s">
        <v>21</v>
      </c>
      <c r="U58" s="8" t="s">
        <v>19</v>
      </c>
      <c r="V58" s="9" t="str">
        <f>'BE-HE_P1toP2'!AJ67</f>
        <v>checked</v>
      </c>
      <c r="W58" s="9" t="e">
        <f>#REF!</f>
        <v>#REF!</v>
      </c>
      <c r="X58" s="9" t="str">
        <f>'BE-BE_P1toP2'!AJ67</f>
        <v>checked</v>
      </c>
      <c r="Y58" s="9" t="e">
        <f>#REF!</f>
        <v>#REF!</v>
      </c>
      <c r="Z58" s="9">
        <f>'HE-BEWalking'!AJ58</f>
        <v>0</v>
      </c>
      <c r="AA58" s="9" t="e">
        <f t="shared" si="6"/>
        <v>#REF!</v>
      </c>
    </row>
    <row r="59" spans="2:27" ht="23.5" thickBot="1" x14ac:dyDescent="0.4">
      <c r="B59" s="29"/>
      <c r="C59" s="4" t="s">
        <v>20</v>
      </c>
      <c r="D59" s="5">
        <f>'BE-HE_P1toP2'!S69</f>
        <v>320.00552727272725</v>
      </c>
      <c r="E59" s="5" t="e">
        <f>#REF!</f>
        <v>#REF!</v>
      </c>
      <c r="F59" s="5">
        <f>'BE-BE_P1toP2'!S69</f>
        <v>284.74447418181813</v>
      </c>
      <c r="G59" s="5" t="e">
        <f>#REF!</f>
        <v>#REF!</v>
      </c>
      <c r="H59" s="5">
        <f>'HE-BEWalking'!S59</f>
        <v>0</v>
      </c>
      <c r="I59" s="5" t="e">
        <f t="shared" si="4"/>
        <v>#REF!</v>
      </c>
      <c r="K59" s="29"/>
      <c r="L59" s="4" t="s">
        <v>20</v>
      </c>
      <c r="M59" s="5">
        <f>'BE-HE_P1toP2'!AA69</f>
        <v>68.71705309090909</v>
      </c>
      <c r="N59" s="5" t="e">
        <f>#REF!</f>
        <v>#REF!</v>
      </c>
      <c r="O59" s="5">
        <f>'BE-BE_P1toP2'!AA69</f>
        <v>71.509204363636357</v>
      </c>
      <c r="P59" s="5" t="e">
        <f>#REF!</f>
        <v>#REF!</v>
      </c>
      <c r="Q59" s="5">
        <f>'HE-BEWalking'!AA59</f>
        <v>0</v>
      </c>
      <c r="R59" s="5" t="e">
        <f t="shared" si="5"/>
        <v>#REF!</v>
      </c>
      <c r="T59" s="29"/>
      <c r="U59" s="4" t="s">
        <v>20</v>
      </c>
      <c r="V59" s="5" t="str">
        <f>'BE-HE_P1toP2'!AJ69</f>
        <v>checked</v>
      </c>
      <c r="W59" s="5" t="e">
        <f>#REF!</f>
        <v>#REF!</v>
      </c>
      <c r="X59" s="5" t="str">
        <f>'BE-BE_P1toP2'!AJ69</f>
        <v>checked</v>
      </c>
      <c r="Y59" s="5" t="e">
        <f>#REF!</f>
        <v>#REF!</v>
      </c>
      <c r="Z59" s="5">
        <f>'HE-BEWalking'!AJ59</f>
        <v>0</v>
      </c>
      <c r="AA59" s="5" t="e">
        <f t="shared" si="6"/>
        <v>#REF!</v>
      </c>
    </row>
    <row r="60" spans="2:27" ht="15" customHeight="1" thickBot="1" x14ac:dyDescent="0.4">
      <c r="B60" s="28" t="s">
        <v>22</v>
      </c>
      <c r="C60" s="8" t="s">
        <v>19</v>
      </c>
      <c r="D60" s="9">
        <f>'BE-HE_P1toP2'!S70</f>
        <v>100.76498618181817</v>
      </c>
      <c r="E60" s="9" t="e">
        <f>#REF!</f>
        <v>#REF!</v>
      </c>
      <c r="F60" s="9">
        <f>'BE-BE_P1toP2'!S70</f>
        <v>65.385111272727272</v>
      </c>
      <c r="G60" s="9" t="e">
        <f>#REF!</f>
        <v>#REF!</v>
      </c>
      <c r="H60" s="9">
        <f>'HE-BEWalking'!S60</f>
        <v>0</v>
      </c>
      <c r="I60" s="9" t="e">
        <f t="shared" si="4"/>
        <v>#REF!</v>
      </c>
      <c r="K60" s="28" t="s">
        <v>22</v>
      </c>
      <c r="L60" s="8" t="s">
        <v>19</v>
      </c>
      <c r="M60" s="9">
        <f>'BE-HE_P1toP2'!AA70</f>
        <v>41.404106181818179</v>
      </c>
      <c r="N60" s="9" t="e">
        <f>#REF!</f>
        <v>#REF!</v>
      </c>
      <c r="O60" s="9">
        <f>'BE-BE_P1toP2'!AA70</f>
        <v>46.859266909090906</v>
      </c>
      <c r="P60" s="9" t="e">
        <f>#REF!</f>
        <v>#REF!</v>
      </c>
      <c r="Q60" s="9">
        <f>'HE-BEWalking'!AA60</f>
        <v>0</v>
      </c>
      <c r="R60" s="9" t="e">
        <f t="shared" si="5"/>
        <v>#REF!</v>
      </c>
      <c r="T60" s="28" t="s">
        <v>22</v>
      </c>
      <c r="U60" s="8" t="s">
        <v>19</v>
      </c>
      <c r="V60" s="9" t="str">
        <f>'BE-HE_P1toP2'!AJ70</f>
        <v>checked</v>
      </c>
      <c r="W60" s="9" t="e">
        <f>#REF!</f>
        <v>#REF!</v>
      </c>
      <c r="X60" s="9" t="str">
        <f>'BE-BE_P1toP2'!AJ70</f>
        <v>checked</v>
      </c>
      <c r="Y60" s="9" t="e">
        <f>#REF!</f>
        <v>#REF!</v>
      </c>
      <c r="Z60" s="9">
        <f>'HE-BEWalking'!AJ60</f>
        <v>0</v>
      </c>
      <c r="AA60" s="9" t="e">
        <f t="shared" si="6"/>
        <v>#REF!</v>
      </c>
    </row>
    <row r="61" spans="2:27" ht="23.5" thickBot="1" x14ac:dyDescent="0.4">
      <c r="B61" s="29"/>
      <c r="C61" s="4" t="s">
        <v>20</v>
      </c>
      <c r="D61" s="5">
        <f>'BE-HE_P1toP2'!S72</f>
        <v>62.461448727272725</v>
      </c>
      <c r="E61" s="5" t="e">
        <f>#REF!</f>
        <v>#REF!</v>
      </c>
      <c r="F61" s="5">
        <f>'BE-BE_P1toP2'!S72</f>
        <v>61.534245818181809</v>
      </c>
      <c r="G61" s="5" t="e">
        <f>#REF!</f>
        <v>#REF!</v>
      </c>
      <c r="H61" s="5">
        <f>'HE-BEWalking'!S61</f>
        <v>0</v>
      </c>
      <c r="I61" s="5" t="e">
        <f t="shared" si="4"/>
        <v>#REF!</v>
      </c>
      <c r="K61" s="29"/>
      <c r="L61" s="4" t="s">
        <v>20</v>
      </c>
      <c r="M61" s="5">
        <f>'BE-HE_P1toP2'!AA72</f>
        <v>45.169623272727264</v>
      </c>
      <c r="N61" s="5" t="e">
        <f>#REF!</f>
        <v>#REF!</v>
      </c>
      <c r="O61" s="5">
        <f>'BE-BE_P1toP2'!AA72</f>
        <v>45.169623272727264</v>
      </c>
      <c r="P61" s="5" t="e">
        <f>#REF!</f>
        <v>#REF!</v>
      </c>
      <c r="Q61" s="5">
        <f>'HE-BEWalking'!AA61</f>
        <v>0</v>
      </c>
      <c r="R61" s="5" t="e">
        <f t="shared" si="5"/>
        <v>#REF!</v>
      </c>
      <c r="T61" s="29"/>
      <c r="U61" s="4" t="s">
        <v>20</v>
      </c>
      <c r="V61" s="5" t="str">
        <f>'BE-HE_P1toP2'!AJ72</f>
        <v>checked</v>
      </c>
      <c r="W61" s="5" t="e">
        <f>#REF!</f>
        <v>#REF!</v>
      </c>
      <c r="X61" s="5" t="str">
        <f>'BE-BE_P1toP2'!AJ72</f>
        <v>checked</v>
      </c>
      <c r="Y61" s="5" t="e">
        <f>#REF!</f>
        <v>#REF!</v>
      </c>
      <c r="Z61" s="5">
        <f>'HE-BEWalking'!AJ61</f>
        <v>0</v>
      </c>
      <c r="AA61" s="5" t="e">
        <f t="shared" si="6"/>
        <v>#REF!</v>
      </c>
    </row>
    <row r="62" spans="2:27" ht="15" customHeight="1" thickBot="1" x14ac:dyDescent="0.4">
      <c r="B62" s="24" t="s">
        <v>35</v>
      </c>
      <c r="C62" s="8" t="s">
        <v>19</v>
      </c>
      <c r="D62" s="9">
        <f>'BE-HE_P1toP2'!S73</f>
        <v>259.53383563636362</v>
      </c>
      <c r="E62" s="9" t="e">
        <f>#REF!</f>
        <v>#REF!</v>
      </c>
      <c r="F62" s="9">
        <f>'BE-BE_P1toP2'!S73</f>
        <v>237.38951563636363</v>
      </c>
      <c r="G62" s="9" t="e">
        <f>#REF!</f>
        <v>#REF!</v>
      </c>
      <c r="H62" s="9">
        <f>'HE-BEWalking'!S62</f>
        <v>0</v>
      </c>
      <c r="I62" s="9" t="e">
        <f t="shared" si="4"/>
        <v>#REF!</v>
      </c>
      <c r="K62" s="24" t="s">
        <v>35</v>
      </c>
      <c r="L62" s="8" t="s">
        <v>19</v>
      </c>
      <c r="M62" s="9">
        <f>'BE-HE_P1toP2'!AA73</f>
        <v>42.48016581818181</v>
      </c>
      <c r="N62" s="9" t="e">
        <f>#REF!</f>
        <v>#REF!</v>
      </c>
      <c r="O62" s="9">
        <f>'BE-BE_P1toP2'!AA73</f>
        <v>49.896266181818177</v>
      </c>
      <c r="P62" s="9" t="e">
        <f>#REF!</f>
        <v>#REF!</v>
      </c>
      <c r="Q62" s="9">
        <f>'HE-BEWalking'!AA62</f>
        <v>0</v>
      </c>
      <c r="R62" s="9" t="e">
        <f t="shared" si="5"/>
        <v>#REF!</v>
      </c>
      <c r="T62" s="24" t="s">
        <v>35</v>
      </c>
      <c r="U62" s="8" t="s">
        <v>19</v>
      </c>
      <c r="V62" s="9" t="str">
        <f>'BE-HE_P1toP2'!AJ73</f>
        <v>checked</v>
      </c>
      <c r="W62" s="9" t="e">
        <f>#REF!</f>
        <v>#REF!</v>
      </c>
      <c r="X62" s="9" t="str">
        <f>'BE-BE_P1toP2'!AJ73</f>
        <v>checked</v>
      </c>
      <c r="Y62" s="9" t="e">
        <f>#REF!</f>
        <v>#REF!</v>
      </c>
      <c r="Z62" s="9">
        <f>'HE-BEWalking'!AJ62</f>
        <v>0</v>
      </c>
      <c r="AA62" s="9" t="e">
        <f t="shared" si="6"/>
        <v>#REF!</v>
      </c>
    </row>
    <row r="63" spans="2:27" ht="23.5" thickBot="1" x14ac:dyDescent="0.4">
      <c r="B63" s="25"/>
      <c r="C63" s="4" t="s">
        <v>20</v>
      </c>
      <c r="D63" s="5">
        <f>'BE-HE_P1toP2'!S75</f>
        <v>268.51448727272725</v>
      </c>
      <c r="E63" s="5" t="e">
        <f>#REF!</f>
        <v>#REF!</v>
      </c>
      <c r="F63" s="5">
        <f>'BE-BE_P1toP2'!S75</f>
        <v>245.64447709090908</v>
      </c>
      <c r="G63" s="5" t="e">
        <f>#REF!</f>
        <v>#REF!</v>
      </c>
      <c r="H63" s="5">
        <f>'HE-BEWalking'!S63</f>
        <v>0</v>
      </c>
      <c r="I63" s="5" t="e">
        <f t="shared" si="4"/>
        <v>#REF!</v>
      </c>
      <c r="K63" s="25"/>
      <c r="L63" s="4" t="s">
        <v>20</v>
      </c>
      <c r="M63" s="5">
        <f>'BE-HE_P1toP2'!AA75</f>
        <v>52.716440727272719</v>
      </c>
      <c r="N63" s="5" t="e">
        <f>#REF!</f>
        <v>#REF!</v>
      </c>
      <c r="O63" s="5">
        <f>'BE-BE_P1toP2'!AA75</f>
        <v>52.716440727272719</v>
      </c>
      <c r="P63" s="5" t="e">
        <f>#REF!</f>
        <v>#REF!</v>
      </c>
      <c r="Q63" s="5">
        <f>'HE-BEWalking'!AA63</f>
        <v>0</v>
      </c>
      <c r="R63" s="5" t="e">
        <f t="shared" si="5"/>
        <v>#REF!</v>
      </c>
      <c r="T63" s="25"/>
      <c r="U63" s="4" t="s">
        <v>20</v>
      </c>
      <c r="V63" s="5" t="str">
        <f>'BE-HE_P1toP2'!AJ75</f>
        <v>checked</v>
      </c>
      <c r="W63" s="5" t="e">
        <f>#REF!</f>
        <v>#REF!</v>
      </c>
      <c r="X63" s="5" t="str">
        <f>'BE-BE_P1toP2'!AJ75</f>
        <v>checked</v>
      </c>
      <c r="Y63" s="5" t="e">
        <f>#REF!</f>
        <v>#REF!</v>
      </c>
      <c r="Z63" s="5">
        <f>'HE-BEWalking'!AJ63</f>
        <v>0</v>
      </c>
      <c r="AA63" s="5" t="e">
        <f t="shared" si="6"/>
        <v>#REF!</v>
      </c>
    </row>
    <row r="64" spans="2:27" ht="15" customHeight="1" thickBot="1" x14ac:dyDescent="0.4">
      <c r="B64" s="26" t="s">
        <v>23</v>
      </c>
      <c r="C64" s="27"/>
      <c r="D64" s="7">
        <f>'BE-HE_P1toP2'!S76</f>
        <v>315.70313599999997</v>
      </c>
      <c r="E64" s="7" t="e">
        <f>#REF!</f>
        <v>#REF!</v>
      </c>
      <c r="F64" s="7">
        <f>'BE-BE_P1toP2'!S76</f>
        <v>336.806468</v>
      </c>
      <c r="G64" s="7" t="e">
        <f>#REF!</f>
        <v>#REF!</v>
      </c>
      <c r="H64" s="7">
        <f>'HE-BEWalking'!S64</f>
        <v>0</v>
      </c>
      <c r="I64" s="7" t="e">
        <f t="shared" si="4"/>
        <v>#REF!</v>
      </c>
      <c r="K64" s="26" t="s">
        <v>23</v>
      </c>
      <c r="L64" s="27"/>
      <c r="M64" s="7">
        <f>'BE-HE_P1toP2'!AA76</f>
        <v>198.49409399999999</v>
      </c>
      <c r="N64" s="7" t="e">
        <f>#REF!</f>
        <v>#REF!</v>
      </c>
      <c r="O64" s="7">
        <f>'BE-BE_P1toP2'!AA76</f>
        <v>214.39873800000001</v>
      </c>
      <c r="P64" s="7" t="e">
        <f>#REF!</f>
        <v>#REF!</v>
      </c>
      <c r="Q64" s="7">
        <f>'HE-BEWalking'!AA64</f>
        <v>0</v>
      </c>
      <c r="R64" s="7" t="e">
        <f t="shared" si="5"/>
        <v>#REF!</v>
      </c>
      <c r="T64" s="26" t="s">
        <v>23</v>
      </c>
      <c r="U64" s="27"/>
      <c r="V64" s="7" t="str">
        <f>'BE-HE_P1toP2'!AJ76</f>
        <v>checked</v>
      </c>
      <c r="W64" s="7" t="e">
        <f>#REF!</f>
        <v>#REF!</v>
      </c>
      <c r="X64" s="7" t="str">
        <f>'BE-BE_P1toP2'!AJ76</f>
        <v>checked</v>
      </c>
      <c r="Y64" s="7" t="e">
        <f>#REF!</f>
        <v>#REF!</v>
      </c>
      <c r="Z64" s="7">
        <f>'HE-BEWalking'!AJ64</f>
        <v>0</v>
      </c>
      <c r="AA64" s="7" t="e">
        <f t="shared" si="6"/>
        <v>#REF!</v>
      </c>
    </row>
  </sheetData>
  <mergeCells count="150">
    <mergeCell ref="T57:U57"/>
    <mergeCell ref="T58:T59"/>
    <mergeCell ref="T60:T61"/>
    <mergeCell ref="T62:T63"/>
    <mergeCell ref="T64:U64"/>
    <mergeCell ref="T49:U49"/>
    <mergeCell ref="T50:U50"/>
    <mergeCell ref="T51:T52"/>
    <mergeCell ref="T53:T54"/>
    <mergeCell ref="T55:T56"/>
    <mergeCell ref="T44:U44"/>
    <mergeCell ref="T45:U45"/>
    <mergeCell ref="T46:U46"/>
    <mergeCell ref="T47:U47"/>
    <mergeCell ref="T48:U48"/>
    <mergeCell ref="T39:U39"/>
    <mergeCell ref="T40:U40"/>
    <mergeCell ref="T41:U41"/>
    <mergeCell ref="T42:U42"/>
    <mergeCell ref="T43:U43"/>
    <mergeCell ref="T34:U34"/>
    <mergeCell ref="T35:U35"/>
    <mergeCell ref="T36:U36"/>
    <mergeCell ref="T37:U37"/>
    <mergeCell ref="T38:U38"/>
    <mergeCell ref="T24:U24"/>
    <mergeCell ref="T25:T26"/>
    <mergeCell ref="T27:T28"/>
    <mergeCell ref="T29:T30"/>
    <mergeCell ref="T31:U31"/>
    <mergeCell ref="T16:U16"/>
    <mergeCell ref="T17:U17"/>
    <mergeCell ref="T18:T19"/>
    <mergeCell ref="T20:T21"/>
    <mergeCell ref="T22:T23"/>
    <mergeCell ref="T11:U11"/>
    <mergeCell ref="T12:U12"/>
    <mergeCell ref="T13:U13"/>
    <mergeCell ref="T14:U14"/>
    <mergeCell ref="T15:U15"/>
    <mergeCell ref="T6:U6"/>
    <mergeCell ref="T7:U7"/>
    <mergeCell ref="T8:U8"/>
    <mergeCell ref="T9:U9"/>
    <mergeCell ref="T10:U10"/>
    <mergeCell ref="T1:U1"/>
    <mergeCell ref="T2:U2"/>
    <mergeCell ref="T3:U3"/>
    <mergeCell ref="T4:U4"/>
    <mergeCell ref="T5:U5"/>
    <mergeCell ref="K57:L57"/>
    <mergeCell ref="K58:K59"/>
    <mergeCell ref="K60:K61"/>
    <mergeCell ref="K62:K63"/>
    <mergeCell ref="K64:L64"/>
    <mergeCell ref="K49:L49"/>
    <mergeCell ref="K50:L50"/>
    <mergeCell ref="K51:K52"/>
    <mergeCell ref="K53:K54"/>
    <mergeCell ref="K55:K56"/>
    <mergeCell ref="K44:L44"/>
    <mergeCell ref="K45:L45"/>
    <mergeCell ref="K46:L46"/>
    <mergeCell ref="K47:L47"/>
    <mergeCell ref="K48:L48"/>
    <mergeCell ref="K39:L39"/>
    <mergeCell ref="K40:L40"/>
    <mergeCell ref="K41:L41"/>
    <mergeCell ref="K42:L42"/>
    <mergeCell ref="K43:L43"/>
    <mergeCell ref="K34:L34"/>
    <mergeCell ref="K35:L35"/>
    <mergeCell ref="K36:L36"/>
    <mergeCell ref="K37:L37"/>
    <mergeCell ref="K38:L38"/>
    <mergeCell ref="K24:L24"/>
    <mergeCell ref="K25:K26"/>
    <mergeCell ref="K27:K28"/>
    <mergeCell ref="K29:K30"/>
    <mergeCell ref="K31:L31"/>
    <mergeCell ref="K16:L16"/>
    <mergeCell ref="K17:L17"/>
    <mergeCell ref="K18:K19"/>
    <mergeCell ref="K20:K21"/>
    <mergeCell ref="K22:K23"/>
    <mergeCell ref="K11:L11"/>
    <mergeCell ref="K12:L12"/>
    <mergeCell ref="K13:L13"/>
    <mergeCell ref="K14:L14"/>
    <mergeCell ref="K15:L15"/>
    <mergeCell ref="K6:L6"/>
    <mergeCell ref="K7:L7"/>
    <mergeCell ref="K8:L8"/>
    <mergeCell ref="K9:L9"/>
    <mergeCell ref="K10:L10"/>
    <mergeCell ref="K1:L1"/>
    <mergeCell ref="K2:L2"/>
    <mergeCell ref="K3:L3"/>
    <mergeCell ref="K4:L4"/>
    <mergeCell ref="K5:L5"/>
    <mergeCell ref="B6:C6"/>
    <mergeCell ref="B1:C1"/>
    <mergeCell ref="B2:C2"/>
    <mergeCell ref="B3:C3"/>
    <mergeCell ref="B4:C4"/>
    <mergeCell ref="B5:C5"/>
    <mergeCell ref="B18:B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48:C48"/>
    <mergeCell ref="B49:C49"/>
    <mergeCell ref="B38:C38"/>
    <mergeCell ref="B20:B21"/>
    <mergeCell ref="B22:B23"/>
    <mergeCell ref="B24:C24"/>
    <mergeCell ref="B25:B26"/>
    <mergeCell ref="B27:B28"/>
    <mergeCell ref="B29:B30"/>
    <mergeCell ref="B31:C31"/>
    <mergeCell ref="B34:C34"/>
    <mergeCell ref="B35:C35"/>
    <mergeCell ref="B36:C36"/>
    <mergeCell ref="B37:C37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2:B63"/>
    <mergeCell ref="B64:C64"/>
    <mergeCell ref="B51:B52"/>
    <mergeCell ref="B53:B54"/>
    <mergeCell ref="B55:B56"/>
    <mergeCell ref="B57:C57"/>
    <mergeCell ref="B58:B59"/>
    <mergeCell ref="B60:B61"/>
    <mergeCell ref="B50:C5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7C5B85-E5C3-4598-9E26-13A540093F99}">
  <ds:schemaRefs>
    <ds:schemaRef ds:uri="http://schemas.microsoft.com/office/2006/metadata/properties"/>
    <ds:schemaRef ds:uri="http://schemas.microsoft.com/office/infopath/2007/PartnerControls"/>
    <ds:schemaRef ds:uri="7270d1ab-9a11-4f16-aad6-91e816d106bd"/>
    <ds:schemaRef ds:uri="106c3a68-2aa9-4ad6-bcc6-97631f62a400"/>
  </ds:schemaRefs>
</ds:datastoreItem>
</file>

<file path=customXml/itemProps2.xml><?xml version="1.0" encoding="utf-8"?>
<ds:datastoreItem xmlns:ds="http://schemas.openxmlformats.org/officeDocument/2006/customXml" ds:itemID="{DC1D2108-96A3-42EA-A117-D20DDFC6A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0d1ab-9a11-4f16-aad6-91e816d106bd"/>
    <ds:schemaRef ds:uri="106c3a68-2aa9-4ad6-bcc6-97631f62a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1ACA62-A875-44B5-9155-7DB5FE0D16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BE-HE_P1toP2</vt:lpstr>
      <vt:lpstr>BE-HE_P2toP1</vt:lpstr>
      <vt:lpstr>BE-BE_P1toP2</vt:lpstr>
      <vt:lpstr>BE-BE_P2toP1</vt:lpstr>
      <vt:lpstr>HE-BEWalking</vt:lpstr>
      <vt:lpstr>HEBE_P1toP2</vt:lpstr>
      <vt:lpstr>HEBE_P2toP1</vt:lpstr>
      <vt:lpstr>LEBE_P1toP2</vt:lpstr>
      <vt:lpstr>LEBE_P2toP1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Gang Duan</dc:creator>
  <cp:keywords/>
  <dc:description/>
  <cp:lastModifiedBy>Wei Qiao</cp:lastModifiedBy>
  <cp:revision/>
  <dcterms:created xsi:type="dcterms:W3CDTF">2015-06-05T18:17:20Z</dcterms:created>
  <dcterms:modified xsi:type="dcterms:W3CDTF">2026-08-18T04:09:02Z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2025-12-25T20:18:17Z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1381ec7a-c648-4ddd-822a-9c27a6fae59c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</Properties>
</file>