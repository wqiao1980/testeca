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corner.sharepoint.com/sites/USARigidPipelineEngineeringTeam/Shared Documents/Shell Gato do Mato (execution)/03 Eng/Working_Folder/GDuan/WQ/07_PR2_NewECA/00_FinalResults/"/>
    </mc:Choice>
  </mc:AlternateContent>
  <xr:revisionPtr revIDLastSave="169" documentId="8_{89C4491E-760E-447F-976F-E02F835574EF}" xr6:coauthVersionLast="47" xr6:coauthVersionMax="47" xr10:uidLastSave="{1B3E8631-5F8D-413C-ACE5-D179104E3279}"/>
  <bookViews>
    <workbookView xWindow="-110" yWindow="-110" windowWidth="25820" windowHeight="15500" activeTab="3" xr2:uid="{3840DDAE-51AF-48AE-B992-AC5F9BAFF614}"/>
  </bookViews>
  <sheets>
    <sheet name="_frontsheet" sheetId="12" r:id="rId1"/>
    <sheet name="flowline_operation_master" sheetId="13" r:id="rId2"/>
    <sheet name="fatigue_histogram" sheetId="15" r:id="rId3"/>
    <sheet name="fracture_load" sheetId="16" r:id="rId4"/>
    <sheet name="_param_info" sheetId="18" r:id="rId5"/>
    <sheet name="_validation" sheetId="1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1" i="16" l="1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12" i="16"/>
  <c r="J310" i="16"/>
  <c r="J311" i="16"/>
  <c r="J309" i="16"/>
  <c r="J306" i="16"/>
  <c r="J307" i="16"/>
  <c r="J308" i="16"/>
  <c r="J305" i="16"/>
  <c r="J302" i="16"/>
  <c r="J303" i="16"/>
  <c r="J304" i="16"/>
  <c r="J30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tc={CAB0B77B-F08E-4807-A281-7C9D4A71B9B5}</author>
  </authors>
  <commentList>
    <comment ref="D9" authorId="0" shapeId="0" xr:uid="{CAB0B77B-F08E-4807-A281-7C9D4A71B9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Difference due to measuring pressure from MSL or from topside. The provided 69 Mpa is the maximum internal pressure (design) at seabed </t>
      </text>
    </comment>
  </commentList>
</comments>
</file>

<file path=xl/sharedStrings.xml><?xml version="1.0" encoding="utf-8"?>
<sst xmlns="http://schemas.openxmlformats.org/spreadsheetml/2006/main" count="4219" uniqueCount="228">
  <si>
    <t>Template Information (do not change)</t>
  </si>
  <si>
    <t>title</t>
  </si>
  <si>
    <t>ECA INPUT TEMPLATE: FLOWLINE OPERATION LOADS</t>
  </si>
  <si>
    <t>note</t>
  </si>
  <si>
    <t>number</t>
  </si>
  <si>
    <t>RPT6021</t>
  </si>
  <si>
    <t xml:space="preserve">version </t>
  </si>
  <si>
    <t>owner</t>
  </si>
  <si>
    <t>Tomasz Tkaczyk</t>
  </si>
  <si>
    <t>client</t>
  </si>
  <si>
    <t>Shell</t>
  </si>
  <si>
    <t>project</t>
  </si>
  <si>
    <t>Orca</t>
  </si>
  <si>
    <t>skip</t>
  </si>
  <si>
    <t>flowline_operation_master_name</t>
  </si>
  <si>
    <t>pipe_name</t>
  </si>
  <si>
    <t>report_number</t>
  </si>
  <si>
    <t>report_rev</t>
  </si>
  <si>
    <t>created_by</t>
  </si>
  <si>
    <t>created_at</t>
  </si>
  <si>
    <t>updated_by</t>
  </si>
  <si>
    <t>updated_at</t>
  </si>
  <si>
    <t># Flowlines</t>
  </si>
  <si>
    <t>ORCA-PRF1-12</t>
  </si>
  <si>
    <t>PR1-F-12</t>
  </si>
  <si>
    <t>Prod 1 flowline 12" (323.9 x 36 mm), TRF
DL = 25 years, DP = 69 MPa, DT = 100C, WD = 2007-2086 m</t>
  </si>
  <si>
    <t>RPT10211655</t>
  </si>
  <si>
    <t>A</t>
  </si>
  <si>
    <t>Hua J &amp; Wei Q</t>
  </si>
  <si>
    <t>ORCA-PR1-F-10</t>
  </si>
  <si>
    <t>PR1-F-10</t>
  </si>
  <si>
    <t>Prod 1 flowline 10" (273.1 x 33 mm)
DL = 25 years, DP = 69 MPa, DT = 100C, WD = 2007-2086 m</t>
  </si>
  <si>
    <t>#</t>
  </si>
  <si>
    <t>ORCA-PR2-F-12</t>
  </si>
  <si>
    <t>PR2-F-12</t>
  </si>
  <si>
    <t>Prod 2 flowline 12" (323.9 x 36 mm), TRF
DL = 25 years, DP = 69 MPa, DT = 100C, WD = 2007-2086 m</t>
  </si>
  <si>
    <t>ORCA-PR2-F-10</t>
  </si>
  <si>
    <t>PR2-F-10</t>
  </si>
  <si>
    <t>Prod 2 flowline 10" (273.1 x 33 mm)
DL = 25 years, DP = 69 MPa, DT = 100C, WD = 2007-2086 m</t>
  </si>
  <si>
    <t>ORCA-PR3-F-08</t>
  </si>
  <si>
    <t>PR3-F-08</t>
  </si>
  <si>
    <r>
      <t xml:space="preserve">Prod 3 flowline 8" (219.1 x 24 mm)
DL = 25 years, DP = 69 MPa, DT = 110C, WD = 2003-2025 m
</t>
    </r>
    <r>
      <rPr>
        <sz val="11"/>
        <color rgb="FFFF0000"/>
        <rFont val="Arial"/>
        <family val="2"/>
      </rPr>
      <t>(MS: Max DP = 60 MPa - why this diffrence?)</t>
    </r>
  </si>
  <si>
    <t>RPT10219983</t>
  </si>
  <si>
    <t>Jefferson L</t>
  </si>
  <si>
    <t>ORCA-GIF-12</t>
  </si>
  <si>
    <t>GIF-12</t>
  </si>
  <si>
    <r>
      <t xml:space="preserve">GI flowline 12" (323.9 x 33 mm), TRF
DL = 25 years, DP = 68.9 MPa, DT = 25-35C, WD = 1992-2011 m
</t>
    </r>
    <r>
      <rPr>
        <sz val="11"/>
        <color rgb="FFFF0000"/>
        <rFont val="Arial"/>
        <family val="2"/>
      </rPr>
      <t>(MS: Max DP = 60 MPa - why this diffrence?)</t>
    </r>
  </si>
  <si>
    <t>RPT10211653</t>
  </si>
  <si>
    <t>Subasini Y</t>
  </si>
  <si>
    <t>13/2/2026</t>
  </si>
  <si>
    <t>ORCA-WIF-12</t>
  </si>
  <si>
    <t>WIF-12</t>
  </si>
  <si>
    <r>
      <t xml:space="preserve">WI flowline 12" (323.9 x 33 mm), TRF
DL = 25 years, DP = 66.9 MPa, DT = 35-50C, WD = 2015-2055 m
</t>
    </r>
    <r>
      <rPr>
        <sz val="11"/>
        <color rgb="FFFF0000"/>
        <rFont val="Arial"/>
        <family val="2"/>
      </rPr>
      <t>(MS: Max DP = 60 MPa - why this diffrence?)</t>
    </r>
  </si>
  <si>
    <t>RPT10211654</t>
  </si>
  <si>
    <t>Ajinkya P</t>
  </si>
  <si>
    <t>load_stage</t>
  </si>
  <si>
    <t>load_scenario</t>
  </si>
  <si>
    <t>thickness_position</t>
  </si>
  <si>
    <t>longitudinal_position</t>
  </si>
  <si>
    <t>longitudinal_zone</t>
  </si>
  <si>
    <t>stress_range</t>
  </si>
  <si>
    <t>cycle</t>
  </si>
  <si>
    <t>unit</t>
  </si>
  <si>
    <t>flowline_operation</t>
  </si>
  <si>
    <t>hydrotest</t>
  </si>
  <si>
    <t>mid</t>
  </si>
  <si>
    <t>planned_buckle</t>
  </si>
  <si>
    <t>life</t>
  </si>
  <si>
    <t>Maximum Non-Structure Hydrotest Midwall -12" Pipe Section</t>
  </si>
  <si>
    <t>od</t>
  </si>
  <si>
    <t>Maximum Non-Structure Hydrotest OD -12" Pipe Section</t>
  </si>
  <si>
    <t>structure</t>
  </si>
  <si>
    <t>Maximum Structure Hydrotest Midwall -12" Pipe Section</t>
  </si>
  <si>
    <t>Maximum Structure Hydrotest OD-12" Pipe Section</t>
  </si>
  <si>
    <t>other</t>
  </si>
  <si>
    <t>full_shutdown_early_life</t>
  </si>
  <si>
    <t>Maximum Non-Structure Operation Midwall-12" Pipe Section</t>
  </si>
  <si>
    <t>Maximum Non-Structure Operation OD -12" Pipe Section</t>
  </si>
  <si>
    <t>Maximum Structure Operation Midwall -12" Pipe Section</t>
  </si>
  <si>
    <t>Maximum Structure Operation OD -12" Pipe Section</t>
  </si>
  <si>
    <t>Hot_Oiling_early_life</t>
  </si>
  <si>
    <t>Maximum Non-Structure Operation Midwall-12" Pipe Section -hotoiling</t>
  </si>
  <si>
    <t>Maximum Non-Structure Operation OD -12" Pipe Section- hotoiling</t>
  </si>
  <si>
    <t>Maximum Structure Operation Midwall -12" Pipe Section -hotoiling</t>
  </si>
  <si>
    <t>Maximum Structure Operation OD -12" Pipe Section -hotoiling</t>
  </si>
  <si>
    <t>partial_shutdown_early_life</t>
  </si>
  <si>
    <t>full_shutdown_Mid_life</t>
  </si>
  <si>
    <t>Hot_Oiling_Mid_life</t>
  </si>
  <si>
    <t>partial_shutdown_Mid_life</t>
  </si>
  <si>
    <t>full_shutdown_late_life</t>
  </si>
  <si>
    <t>Hot_Oiling_late_life</t>
  </si>
  <si>
    <t>partial_shutdown_late_life</t>
  </si>
  <si>
    <t>Maximum Non-Structure Hydrotest Midwall-10" Pipe Section</t>
  </si>
  <si>
    <t>Maximum Non-Structure Hydrotest OD -10" Pipe Section</t>
  </si>
  <si>
    <t>Maximum Structure Hydrotest Midwall -10" Pipe Section</t>
  </si>
  <si>
    <t>Maximum Structure Hydrotest OD -10" Pipe Section</t>
  </si>
  <si>
    <t>Maximum Non-Structure Operation Midwall-10" Pipe Section</t>
  </si>
  <si>
    <t>Maximum Non-Structure Operation OD -10" Pipe Section</t>
  </si>
  <si>
    <t>Maximum Structure Operation Midwall -10" Pipe Section</t>
  </si>
  <si>
    <t>Maximum Structure Operation OD -10" Pipe Section</t>
  </si>
  <si>
    <t>Maximum Non-Structure Operation Midwall-10" Pipe Section-hotoiling</t>
  </si>
  <si>
    <t>Maximum Non-Structure Operation OD -10" Pipe Section -hotoiling</t>
  </si>
  <si>
    <t>Maximum Structure Operation Midwall -10" Pipe Section -hotoiling</t>
  </si>
  <si>
    <t>Maximum Structure Operation OD -10" Pipe Section -hotoiling</t>
  </si>
  <si>
    <t>Maximum Non-Structure Hydrotest OD</t>
  </si>
  <si>
    <t>Maximum Non-Structure Hydrotest Midwall</t>
  </si>
  <si>
    <t>Maximum Structure Hydrotest OD</t>
  </si>
  <si>
    <t>Maximum Structure Hydrotest Midwall</t>
  </si>
  <si>
    <t>Maximum Non-Structure Operation OD</t>
  </si>
  <si>
    <t>Maximum Non-Structure Operation Midwall</t>
  </si>
  <si>
    <t>Maximum Structure Operation OD</t>
  </si>
  <si>
    <t>Maximum Structure Operation Midwall</t>
  </si>
  <si>
    <t>flowline_storage</t>
  </si>
  <si>
    <t>viv</t>
  </si>
  <si>
    <t>year</t>
  </si>
  <si>
    <t>As-Laid VIV OD (27 months of storage to be applied)</t>
  </si>
  <si>
    <t>id</t>
  </si>
  <si>
    <t>As-Laid VIV ID (27 months of storage to be applied)</t>
  </si>
  <si>
    <t>Non-Structure Hydrotest OD</t>
  </si>
  <si>
    <t>Non-Structure Hydrotest MID</t>
  </si>
  <si>
    <t>Structure Hydrotest OD</t>
  </si>
  <si>
    <t>Structure Hydrotest MID</t>
  </si>
  <si>
    <t>Non-Structure Operation OD</t>
  </si>
  <si>
    <t>Non-Structure Operation MID</t>
  </si>
  <si>
    <t>Structure Operation OD</t>
  </si>
  <si>
    <t>Structure Operation MID</t>
  </si>
  <si>
    <t># GLF12</t>
  </si>
  <si>
    <t># WIF12</t>
  </si>
  <si>
    <t>max_stress</t>
  </si>
  <si>
    <t>max_strain</t>
  </si>
  <si>
    <t>diff_pressure</t>
  </si>
  <si>
    <t>Design</t>
  </si>
  <si>
    <t>Maximum Non-Structure Design Midwall -12" Pipe Section</t>
  </si>
  <si>
    <t>Maximum Non-Structure Design OD -12" Pipe Section</t>
  </si>
  <si>
    <t>Maximum Structure Design Midwall - 12" Pipe Section</t>
  </si>
  <si>
    <t>Maximum Structure Design OD -12" Pipe Section</t>
  </si>
  <si>
    <t>Other</t>
  </si>
  <si>
    <t>Maximum Non-Structure Design Midwall -10" Pipe Section</t>
  </si>
  <si>
    <t>Maximum Non-Structure Design OD -10" Pipe Section</t>
  </si>
  <si>
    <t>Maximum Structure Design Midwall - 10" Pipe Section</t>
  </si>
  <si>
    <t>Maximum Structure Design OD -10" Pipe Section</t>
  </si>
  <si>
    <t>Maximum Non-Structure Design OD</t>
  </si>
  <si>
    <t>Maximum Non-Structure Design Midwall</t>
  </si>
  <si>
    <t>Maximum Structure Design OD</t>
  </si>
  <si>
    <t>Maximum Structure Design Midwall</t>
  </si>
  <si>
    <t>Non-Structure Design OD</t>
  </si>
  <si>
    <t>Non-Structure Design MID</t>
  </si>
  <si>
    <t>Structure Design OD</t>
  </si>
  <si>
    <t>Structure Design MID</t>
  </si>
  <si>
    <t>table</t>
  </si>
  <si>
    <t>parameter_name</t>
  </si>
  <si>
    <t>description</t>
  </si>
  <si>
    <t>flowline_operation_master</t>
  </si>
  <si>
    <t>Unique flowline operation master name (links flowline operation data to a report number)</t>
  </si>
  <si>
    <t>---</t>
  </si>
  <si>
    <t>Unique pipe name</t>
  </si>
  <si>
    <t>Additional information</t>
  </si>
  <si>
    <t>Report number where the data originates</t>
  </si>
  <si>
    <t>report_revision</t>
  </si>
  <si>
    <t>Report revision where the data originates</t>
  </si>
  <si>
    <t>Full name of the engineer who generated the data</t>
  </si>
  <si>
    <t>Date when the data was generated</t>
  </si>
  <si>
    <t>Full name of the engineer who updated the data</t>
  </si>
  <si>
    <t>Date when the data was updated</t>
  </si>
  <si>
    <t>fatigue_histogram</t>
  </si>
  <si>
    <r>
      <t xml:space="preserve">Load stage
Options: </t>
    </r>
    <r>
      <rPr>
        <b/>
        <sz val="11"/>
        <rFont val="Calibri"/>
        <family val="2"/>
        <scheme val="minor"/>
      </rPr>
      <t>flowline_operation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>flowline_storage</t>
    </r>
  </si>
  <si>
    <r>
      <t xml:space="preserve">Unique load scenario name such as: </t>
    </r>
    <r>
      <rPr>
        <b/>
        <sz val="11"/>
        <rFont val="Calibri"/>
        <family val="2"/>
        <scheme val="minor"/>
      </rPr>
      <t>hydrotest, long_shutdown, short_shutdown, start_of_life, end-of-life, full_cooldown, half cooldown, partial_cooldown, minor_cooldown</t>
    </r>
  </si>
  <si>
    <r>
      <t xml:space="preserve">Through-thickness load position  
Options: </t>
    </r>
    <r>
      <rPr>
        <b/>
        <sz val="11"/>
        <rFont val="Calibri"/>
        <family val="2"/>
        <scheme val="minor"/>
      </rPr>
      <t xml:space="preserve">od, id, mid, liner_od </t>
    </r>
    <r>
      <rPr>
        <sz val="11"/>
        <rFont val="Calibri"/>
        <family val="2"/>
        <scheme val="minor"/>
      </rPr>
      <t>(used for bimetallic MLP and HRB clad pipes)</t>
    </r>
  </si>
  <si>
    <t>Longitudinal position from reference point (e.g., PLET). Add reference details in the "note" column.</t>
  </si>
  <si>
    <t>m</t>
  </si>
  <si>
    <r>
      <t xml:space="preserve">Longitudinal zone such as: </t>
    </r>
    <r>
      <rPr>
        <b/>
        <sz val="11"/>
        <rFont val="Calibri"/>
        <family val="2"/>
        <scheme val="minor"/>
      </rPr>
      <t>planned_buckle, rouge_buckle</t>
    </r>
  </si>
  <si>
    <t xml:space="preserve">Longitudinal stress range </t>
  </si>
  <si>
    <t>MPa</t>
  </si>
  <si>
    <t>Number of cycles</t>
  </si>
  <si>
    <r>
      <t xml:space="preserve">Unit for cycles  
Options: </t>
    </r>
    <r>
      <rPr>
        <b/>
        <sz val="11"/>
        <rFont val="Calibri"/>
        <family val="2"/>
        <scheme val="minor"/>
      </rPr>
      <t>life</t>
    </r>
    <r>
      <rPr>
        <sz val="11"/>
        <rFont val="Calibri"/>
        <family val="2"/>
        <scheme val="minor"/>
      </rPr>
      <t xml:space="preserve"> (entire pipeline design life)</t>
    </r>
    <r>
      <rPr>
        <b/>
        <sz val="11"/>
        <rFont val="Calibri"/>
        <family val="2"/>
        <scheme val="minor"/>
      </rPr>
      <t xml:space="preserve">, year </t>
    </r>
    <r>
      <rPr>
        <sz val="11"/>
        <rFont val="Calibri"/>
        <family val="2"/>
        <scheme val="minor"/>
      </rPr>
      <t>(annual cycles)</t>
    </r>
  </si>
  <si>
    <t>fracture_load</t>
  </si>
  <si>
    <r>
      <t xml:space="preserve">Load stage (set to </t>
    </r>
    <r>
      <rPr>
        <b/>
        <sz val="11"/>
        <rFont val="Calibri"/>
        <family val="2"/>
        <scheme val="minor"/>
      </rPr>
      <t>flowline_operation</t>
    </r>
    <r>
      <rPr>
        <sz val="11"/>
        <rFont val="Calibri"/>
        <family val="2"/>
        <scheme val="minor"/>
      </rPr>
      <t>)</t>
    </r>
  </si>
  <si>
    <t xml:space="preserve">Maximum longitudinal stress </t>
  </si>
  <si>
    <r>
      <t xml:space="preserve">Maximum longitudinal </t>
    </r>
    <r>
      <rPr>
        <b/>
        <sz val="11"/>
        <rFont val="Calibri"/>
        <family val="2"/>
        <scheme val="minor"/>
      </rPr>
      <t>mechanical</t>
    </r>
    <r>
      <rPr>
        <sz val="11"/>
        <rFont val="Calibri"/>
        <family val="2"/>
        <scheme val="minor"/>
      </rPr>
      <t xml:space="preserve"> strain  </t>
    </r>
  </si>
  <si>
    <t>mm/mm</t>
  </si>
  <si>
    <t>Differential pressure (minimum 0 or difference between maximum operating pressure and external pressure)</t>
  </si>
  <si>
    <t>load_strage</t>
  </si>
  <si>
    <t>long_shutdown</t>
  </si>
  <si>
    <t>short_shutdown</t>
  </si>
  <si>
    <t>start_of_life</t>
  </si>
  <si>
    <t>liner_od</t>
  </si>
  <si>
    <t>end-of-life</t>
  </si>
  <si>
    <t>full_cooldown</t>
  </si>
  <si>
    <t>half cooldown</t>
  </si>
  <si>
    <t xml:space="preserve">partial_cooldown </t>
  </si>
  <si>
    <t>minor_cooldown</t>
  </si>
  <si>
    <t>Maximum planned buckle Hydrotest Midwall -12" Pipe Section</t>
  </si>
  <si>
    <t>Maximum planned buckle Hydrotest OD -12" Pipe Section</t>
  </si>
  <si>
    <t>Maximum other Hydrotest Midwall -12" Pipe Section</t>
  </si>
  <si>
    <t>Maximum other Hydrotest OD-12" Pipe Section</t>
  </si>
  <si>
    <t>Maximum planned buckle Operation OD -12" Pipe Section</t>
  </si>
  <si>
    <t>Maximum planned buckle Operation Midwall-12" Pipe Section</t>
  </si>
  <si>
    <t>Maximum other Operation Midwall -12" Pipe Section</t>
  </si>
  <si>
    <t>Maximum other Operation OD -12" Pipe Section</t>
  </si>
  <si>
    <t>Maximum other  Operation OD -12" Pipe Section</t>
  </si>
  <si>
    <t>Maximum planned buckle Operation Midwall-12" Pipe Section -hotoiling</t>
  </si>
  <si>
    <t>Maximum planned buckle Operation OD -12" Pipe Section- hotoiling</t>
  </si>
  <si>
    <t>Maximum other Operation Midwall -12" Pipe Section -hotoiling</t>
  </si>
  <si>
    <t>Maximum other Operation OD -12" Pipe Section -hotoiling</t>
  </si>
  <si>
    <t>Maximum planned buckle Hydrotest Midwall-10" Pipe Section</t>
  </si>
  <si>
    <t>Maximum planned buckle Hydrotest OD -10" Pipe Section</t>
  </si>
  <si>
    <t>Maximum other Hydrotest Midwall -10" Pipe Section</t>
  </si>
  <si>
    <t>Maximum other Hydrotest OD -10" Pipe Section</t>
  </si>
  <si>
    <t>Maximum planned buckle Operation Midwall-10" Pipe Section</t>
  </si>
  <si>
    <t>Maximum planned buckle Operation OD -10" Pipe Section</t>
  </si>
  <si>
    <t>Maximum other Operation Midwall -10" Pipe Section</t>
  </si>
  <si>
    <t>Maximum other Operation OD -10" Pipe Section</t>
  </si>
  <si>
    <t>Maximum planned buckle Operation Midwall-10" Pipe Section-hotoiling</t>
  </si>
  <si>
    <t>Maximum planned buckle Operation OD -10" Pipe Section -hotoiling</t>
  </si>
  <si>
    <t>Maximum other Operation Midwall -10" Pipe Section -hotoiling</t>
  </si>
  <si>
    <t>Maximum other Operation OD -10" Pipe Section -hotoiling</t>
  </si>
  <si>
    <t>Maximum planned buckle Design Midwall -12" Pipe Section</t>
  </si>
  <si>
    <t>Maximum planned buckle Design OD -12" Pipe Section</t>
  </si>
  <si>
    <t>Maximum Other Design Midwall - 12" Pipe Section</t>
  </si>
  <si>
    <t>Maximum Other Design OD -12" Pipe Section</t>
  </si>
  <si>
    <t>Maximum planned buckle  Operation OD -12" Pipe Section</t>
  </si>
  <si>
    <t>Maximum planned buckle Design Midwall -10" Pipe Section</t>
  </si>
  <si>
    <t>Maximum planned buckle Design OD -10" Pipe Section</t>
  </si>
  <si>
    <t>Maximum planned buckle  Operation OD -10" Pipe Section</t>
  </si>
  <si>
    <t>Maximum planned buckel Operation Midwall-10" Pipe Section-hotoiling</t>
  </si>
  <si>
    <t>Maximum planned buckle  Operation OD -10" Pipe Section -hotoiling</t>
  </si>
  <si>
    <t>Maximum other Design Midwall - 10" Pipe Section</t>
  </si>
  <si>
    <t>Maximum other Design OD -10" Pipe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</si>
</sst>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"/>
    <numFmt numFmtId="165" formatCode="0.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5" fillId="0" borderId="0"/>
  </cellStyleXfs>
  <cellXfs count="113">
    <xf numFmtId="0" fontId="0" fillId="0" borderId="0" xfId="0"/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/>
    <xf numFmtId="0" fontId="0" fillId="0" borderId="11" xfId="0" applyBorder="1"/>
    <xf numFmtId="0" fontId="22" fillId="33" borderId="12" xfId="0" applyFont="1" applyFill="1" applyBorder="1"/>
    <xf numFmtId="0" fontId="23" fillId="34" borderId="13" xfId="0" applyFont="1" applyFill="1" applyBorder="1" applyAlignment="1">
      <alignment horizontal="left"/>
    </xf>
    <xf numFmtId="0" fontId="22" fillId="33" borderId="14" xfId="0" applyFont="1" applyFill="1" applyBorder="1"/>
    <xf numFmtId="0" fontId="22" fillId="33" borderId="10" xfId="0" applyFont="1" applyFill="1" applyBorder="1"/>
    <xf numFmtId="0" fontId="24" fillId="34" borderId="13" xfId="0" applyFont="1" applyFill="1" applyBorder="1" applyAlignment="1">
      <alignment horizontal="left"/>
    </xf>
    <xf numFmtId="0" fontId="22" fillId="33" borderId="15" xfId="0" applyFont="1" applyFill="1" applyBorder="1"/>
    <xf numFmtId="0" fontId="25" fillId="35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36" borderId="0" xfId="0" applyFont="1" applyFill="1" applyAlignment="1">
      <alignment horizontal="left" vertical="center"/>
    </xf>
    <xf numFmtId="0" fontId="27" fillId="36" borderId="18" xfId="0" applyFont="1" applyFill="1" applyBorder="1" applyAlignment="1">
      <alignment horizontal="left" vertical="center"/>
    </xf>
    <xf numFmtId="0" fontId="27" fillId="36" borderId="18" xfId="0" applyFont="1" applyFill="1" applyBorder="1" applyAlignment="1">
      <alignment horizontal="center" vertical="center"/>
    </xf>
    <xf numFmtId="0" fontId="28" fillId="36" borderId="0" xfId="0" applyFont="1" applyFill="1" applyAlignment="1">
      <alignment horizontal="left" vertical="center"/>
    </xf>
    <xf numFmtId="0" fontId="0" fillId="36" borderId="0" xfId="0" applyFill="1"/>
    <xf numFmtId="0" fontId="24" fillId="0" borderId="17" xfId="0" applyFont="1" applyBorder="1" applyAlignment="1">
      <alignment horizontal="left" vertical="center"/>
    </xf>
    <xf numFmtId="0" fontId="29" fillId="36" borderId="19" xfId="0" applyFont="1" applyFill="1" applyBorder="1" applyAlignment="1">
      <alignment horizontal="left" vertical="center"/>
    </xf>
    <xf numFmtId="0" fontId="29" fillId="36" borderId="20" xfId="0" applyFont="1" applyFill="1" applyBorder="1" applyAlignment="1">
      <alignment horizontal="center" vertical="center"/>
    </xf>
    <xf numFmtId="0" fontId="29" fillId="36" borderId="0" xfId="0" applyFont="1" applyFill="1" applyAlignment="1">
      <alignment horizontal="left" vertical="center"/>
    </xf>
    <xf numFmtId="0" fontId="29" fillId="36" borderId="18" xfId="0" applyFont="1" applyFill="1" applyBorder="1" applyAlignment="1">
      <alignment horizontal="left" vertical="center"/>
    </xf>
    <xf numFmtId="0" fontId="29" fillId="36" borderId="18" xfId="0" applyFont="1" applyFill="1" applyBorder="1" applyAlignment="1">
      <alignment horizontal="center" vertical="center"/>
    </xf>
    <xf numFmtId="0" fontId="19" fillId="0" borderId="0" xfId="0" applyFont="1"/>
    <xf numFmtId="0" fontId="27" fillId="36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30" fillId="36" borderId="19" xfId="0" applyFont="1" applyFill="1" applyBorder="1" applyAlignment="1">
      <alignment vertical="center"/>
    </xf>
    <xf numFmtId="0" fontId="31" fillId="36" borderId="19" xfId="0" applyFont="1" applyFill="1" applyBorder="1" applyAlignment="1">
      <alignment vertical="center"/>
    </xf>
    <xf numFmtId="0" fontId="31" fillId="36" borderId="19" xfId="0" applyFont="1" applyFill="1" applyBorder="1" applyAlignment="1">
      <alignment horizontal="left" vertical="center"/>
    </xf>
    <xf numFmtId="0" fontId="26" fillId="36" borderId="19" xfId="0" applyFont="1" applyFill="1" applyBorder="1" applyAlignment="1">
      <alignment vertical="center"/>
    </xf>
    <xf numFmtId="0" fontId="30" fillId="36" borderId="0" xfId="0" applyFont="1" applyFill="1" applyAlignment="1">
      <alignment vertical="center"/>
    </xf>
    <xf numFmtId="0" fontId="31" fillId="36" borderId="0" xfId="0" applyFont="1" applyFill="1" applyAlignment="1">
      <alignment vertical="center"/>
    </xf>
    <xf numFmtId="0" fontId="31" fillId="36" borderId="0" xfId="0" applyFont="1" applyFill="1" applyAlignment="1">
      <alignment horizontal="left" vertical="center"/>
    </xf>
    <xf numFmtId="0" fontId="26" fillId="36" borderId="0" xfId="0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6" fillId="36" borderId="0" xfId="0" applyFont="1" applyFill="1" applyAlignment="1">
      <alignment horizontal="left" vertical="center"/>
    </xf>
    <xf numFmtId="0" fontId="34" fillId="36" borderId="0" xfId="0" applyFont="1" applyFill="1" applyAlignment="1">
      <alignment horizontal="left"/>
    </xf>
    <xf numFmtId="0" fontId="29" fillId="34" borderId="13" xfId="0" applyFont="1" applyFill="1" applyBorder="1" applyAlignment="1">
      <alignment horizontal="left"/>
    </xf>
    <xf numFmtId="2" fontId="27" fillId="36" borderId="0" xfId="0" applyNumberFormat="1" applyFont="1" applyFill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/>
    </xf>
    <xf numFmtId="0" fontId="13" fillId="0" borderId="0" xfId="42" applyFont="1" applyAlignment="1">
      <alignment horizontal="center" vertical="center"/>
    </xf>
    <xf numFmtId="0" fontId="35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19" fillId="0" borderId="0" xfId="42" applyFont="1" applyAlignment="1">
      <alignment horizontal="left" vertical="center"/>
    </xf>
    <xf numFmtId="0" fontId="19" fillId="0" borderId="0" xfId="42" quotePrefix="1" applyFont="1" applyAlignment="1">
      <alignment horizontal="center" vertical="center"/>
    </xf>
    <xf numFmtId="0" fontId="19" fillId="0" borderId="0" xfId="42" applyFont="1" applyAlignment="1">
      <alignment vertical="center" wrapText="1"/>
    </xf>
    <xf numFmtId="0" fontId="19" fillId="0" borderId="0" xfId="42" applyFont="1" applyAlignment="1">
      <alignment horizontal="center" vertical="center"/>
    </xf>
    <xf numFmtId="0" fontId="35" fillId="0" borderId="0" xfId="42" applyAlignment="1">
      <alignment horizontal="center" vertical="center"/>
    </xf>
    <xf numFmtId="0" fontId="19" fillId="0" borderId="0" xfId="42" applyFont="1" applyAlignment="1">
      <alignment horizontal="left" vertical="center" wrapText="1"/>
    </xf>
    <xf numFmtId="0" fontId="13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33" borderId="22" xfId="0" applyFont="1" applyFill="1" applyBorder="1"/>
    <xf numFmtId="0" fontId="29" fillId="0" borderId="0" xfId="0" applyFont="1" applyAlignment="1">
      <alignment horizontal="left" wrapText="1"/>
    </xf>
    <xf numFmtId="0" fontId="29" fillId="0" borderId="18" xfId="0" applyFont="1" applyBorder="1" applyAlignment="1">
      <alignment horizontal="left" vertical="center"/>
    </xf>
    <xf numFmtId="164" fontId="19" fillId="0" borderId="0" xfId="0" applyNumberFormat="1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0" borderId="23" xfId="0" applyFont="1" applyBorder="1"/>
    <xf numFmtId="0" fontId="27" fillId="0" borderId="0" xfId="0" applyFont="1" applyAlignment="1">
      <alignment horizontal="left"/>
    </xf>
    <xf numFmtId="0" fontId="19" fillId="36" borderId="0" xfId="42" applyFont="1" applyFill="1" applyAlignment="1">
      <alignment horizontal="left" vertical="center" wrapText="1"/>
    </xf>
    <xf numFmtId="0" fontId="18" fillId="36" borderId="0" xfId="0" applyFont="1" applyFill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2" fontId="28" fillId="36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64" fontId="31" fillId="36" borderId="0" xfId="0" applyNumberFormat="1" applyFont="1" applyFill="1" applyAlignment="1">
      <alignment vertical="center"/>
    </xf>
    <xf numFmtId="164" fontId="27" fillId="36" borderId="18" xfId="0" applyNumberFormat="1" applyFont="1" applyFill="1" applyBorder="1" applyAlignment="1">
      <alignment horizontal="center" vertical="center"/>
    </xf>
    <xf numFmtId="14" fontId="29" fillId="0" borderId="0" xfId="0" applyNumberFormat="1" applyFont="1" applyAlignment="1">
      <alignment horizontal="center"/>
    </xf>
    <xf numFmtId="0" fontId="19" fillId="37" borderId="24" xfId="0" applyFont="1" applyFill="1" applyBorder="1" applyAlignment="1">
      <alignment vertical="center"/>
    </xf>
    <xf numFmtId="0" fontId="19" fillId="37" borderId="24" xfId="0" applyFont="1" applyFill="1" applyBorder="1" applyAlignment="1">
      <alignment horizontal="center" vertical="center"/>
    </xf>
    <xf numFmtId="1" fontId="19" fillId="37" borderId="24" xfId="0" applyNumberFormat="1" applyFont="1" applyFill="1" applyBorder="1" applyAlignment="1">
      <alignment horizontal="center" vertical="center"/>
    </xf>
    <xf numFmtId="0" fontId="19" fillId="37" borderId="24" xfId="0" applyFont="1" applyFill="1" applyBorder="1"/>
    <xf numFmtId="0" fontId="31" fillId="36" borderId="25" xfId="0" applyFont="1" applyFill="1" applyBorder="1" applyAlignment="1">
      <alignment horizontal="left" vertical="center"/>
    </xf>
    <xf numFmtId="0" fontId="19" fillId="0" borderId="24" xfId="0" applyFont="1" applyBorder="1" applyAlignment="1">
      <alignment vertical="center"/>
    </xf>
    <xf numFmtId="0" fontId="19" fillId="0" borderId="24" xfId="0" applyFont="1" applyBorder="1" applyAlignment="1">
      <alignment horizontal="center" vertical="center"/>
    </xf>
    <xf numFmtId="0" fontId="19" fillId="0" borderId="24" xfId="0" applyFont="1" applyBorder="1"/>
    <xf numFmtId="0" fontId="0" fillId="38" borderId="24" xfId="0" applyFill="1" applyBorder="1" applyAlignment="1">
      <alignment vertical="center"/>
    </xf>
    <xf numFmtId="0" fontId="0" fillId="38" borderId="24" xfId="0" applyFill="1" applyBorder="1" applyAlignment="1">
      <alignment horizontal="center" vertical="center"/>
    </xf>
    <xf numFmtId="0" fontId="0" fillId="38" borderId="24" xfId="0" applyFill="1" applyBorder="1"/>
    <xf numFmtId="0" fontId="31" fillId="36" borderId="25" xfId="0" applyFont="1" applyFill="1" applyBorder="1" applyAlignment="1">
      <alignment vertical="center"/>
    </xf>
    <xf numFmtId="165" fontId="19" fillId="0" borderId="0" xfId="0" applyNumberFormat="1" applyFont="1" applyAlignment="1">
      <alignment horizontal="center" vertical="center"/>
    </xf>
    <xf numFmtId="165" fontId="19" fillId="37" borderId="24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5" fontId="19" fillId="38" borderId="24" xfId="0" applyNumberFormat="1" applyFont="1" applyFill="1" applyBorder="1" applyAlignment="1">
      <alignment horizontal="center" vertical="center"/>
    </xf>
    <xf numFmtId="164" fontId="19" fillId="37" borderId="24" xfId="0" applyNumberFormat="1" applyFont="1" applyFill="1" applyBorder="1" applyAlignment="1">
      <alignment horizontal="center" vertical="center"/>
    </xf>
    <xf numFmtId="0" fontId="19" fillId="37" borderId="0" xfId="0" applyFont="1" applyFill="1" applyAlignment="1">
      <alignment vertical="center"/>
    </xf>
    <xf numFmtId="0" fontId="19" fillId="37" borderId="0" xfId="0" applyFont="1" applyFill="1" applyAlignment="1">
      <alignment horizontal="center" vertical="center"/>
    </xf>
    <xf numFmtId="1" fontId="19" fillId="37" borderId="0" xfId="0" applyNumberFormat="1" applyFont="1" applyFill="1" applyAlignment="1">
      <alignment horizontal="center" vertical="center"/>
    </xf>
    <xf numFmtId="164" fontId="19" fillId="37" borderId="0" xfId="0" applyNumberFormat="1" applyFont="1" applyFill="1" applyAlignment="1">
      <alignment horizontal="center" vertical="center"/>
    </xf>
    <xf numFmtId="0" fontId="19" fillId="37" borderId="0" xfId="0" applyFont="1" applyFill="1"/>
    <xf numFmtId="0" fontId="19" fillId="39" borderId="0" xfId="0" applyFont="1" applyFill="1" applyAlignment="1">
      <alignment vertical="center"/>
    </xf>
    <xf numFmtId="0" fontId="19" fillId="39" borderId="0" xfId="0" applyFont="1" applyFill="1" applyAlignment="1">
      <alignment horizontal="center" vertical="center"/>
    </xf>
    <xf numFmtId="1" fontId="19" fillId="39" borderId="0" xfId="0" applyNumberFormat="1" applyFont="1" applyFill="1" applyAlignment="1">
      <alignment horizontal="center" vertical="center"/>
    </xf>
    <xf numFmtId="164" fontId="19" fillId="39" borderId="0" xfId="0" applyNumberFormat="1" applyFont="1" applyFill="1" applyAlignment="1">
      <alignment horizontal="center" vertical="center"/>
    </xf>
    <xf numFmtId="0" fontId="19" fillId="39" borderId="0" xfId="0" applyFont="1" applyFill="1"/>
    <xf numFmtId="2" fontId="19" fillId="39" borderId="0" xfId="0" applyNumberFormat="1" applyFont="1" applyFill="1" applyAlignment="1">
      <alignment horizontal="center" vertical="center"/>
    </xf>
    <xf numFmtId="2" fontId="19" fillId="40" borderId="0" xfId="0" applyNumberFormat="1" applyFont="1" applyFill="1" applyAlignment="1">
      <alignment horizontal="center" vertical="center"/>
    </xf>
    <xf numFmtId="0" fontId="19" fillId="37" borderId="0" xfId="0" applyFont="1" applyFill="1" applyAlignment="1">
      <alignment horizontal="left" vertical="center"/>
    </xf>
    <xf numFmtId="0" fontId="0" fillId="37" borderId="0" xfId="0" applyFill="1"/>
    <xf numFmtId="0" fontId="14" fillId="39" borderId="0" xfId="0" applyFont="1" applyFill="1" applyAlignment="1">
      <alignment horizontal="center" vertical="center"/>
    </xf>
    <xf numFmtId="0" fontId="0" fillId="39" borderId="0" xfId="0" applyFill="1"/>
    <xf numFmtId="0" fontId="0" fillId="39" borderId="0" xfId="0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4" fillId="37" borderId="0" xfId="0" applyNumberFormat="1" applyFont="1" applyFill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39" borderId="0" xfId="0" applyNumberFormat="1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8FB0A55-5711-4554-B7CB-3E35EFED024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border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border outline="0">
        <top style="thin">
          <color theme="4" tint="0.39994506668294322"/>
        </top>
      </border>
    </dxf>
    <dxf>
      <border outline="0">
        <bottom style="thin">
          <color theme="4" tint="0.3999450666829432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rgb="FF0070C0"/>
        </left>
        <right style="thin">
          <color rgb="FF0070C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</dxfs>
  <tableStyles count="2" defaultTableStyle="TableStyleMedium2" defaultPivotStyle="PivotStyleLight16">
    <tableStyle name="custom" pivot="0" count="7" xr9:uid="{608678A3-D58E-4F27-93D8-F5433305733D}">
      <tableStyleElement type="wholeTable" dxfId="63"/>
      <tableStyleElement type="headerRow" dxfId="62"/>
      <tableStyleElement type="totalRow" dxfId="61"/>
      <tableStyleElement type="firstColumn" dxfId="60"/>
      <tableStyleElement type="lastColumn" dxfId="59"/>
      <tableStyleElement type="firstRowStripe" dxfId="58"/>
      <tableStyleElement type="firstColumnStripe" dxfId="57"/>
    </tableStyle>
    <tableStyle name="Invisible" pivot="0" table="0" count="0" xr9:uid="{A382ABA1-35A2-4FBD-BA66-7B87FD3569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2855377</xdr:colOff>
      <xdr:row>15</xdr:row>
      <xdr:rowOff>2708</xdr:rowOff>
    </xdr:from>
    <xdr:to>
      <xdr:col>5</xdr:col>
      <xdr:colOff>228833</xdr:colOff>
      <xdr:row>41</xdr:row>
      <xdr:rowOff>66706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8929C2-0F3E-A64E-B9F4-35B13801B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7327" y="4117508"/>
          <a:ext cx="7517581" cy="50169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fferson Lee" id="{7D5E2082-03DA-42E6-A3A5-532D083068F1}" userId="S::jefferson.lee@technipfmc.com::47797714-2bdc-4174-8e8b-08e2d124019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4CE91-8BAE-4E6D-A627-95C07987906F}" name="frontsheet" displayName="frontsheet" ref="A2:B8" headerRowCount="0" headerRowDxfId="44" dataDxfId="43" totalsRowDxfId="41" tableBorderDxfId="42">
  <tableColumns count="2">
    <tableColumn id="1" xr3:uid="{07FC11DD-DC88-4E26-B864-ECFDDF453979}" name="Column1" totalsRowLabel="Total" headerRowDxfId="40" dataDxfId="39" totalsRowDxfId="38"/>
    <tableColumn id="2" xr3:uid="{9EB3EE0B-7FF8-4A06-8AFC-BECBA5478CA5}" name="Column2" totalsRowFunction="count" dataDxfId="37" totalsRowDxfId="36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42C19-2AE7-4550-93C8-07AAFB6D0BD4}" name="flowline_operation_master" displayName="flowline_operation_master" ref="B1:J12" totalsRowShown="0" headerRowDxfId="35" headerRowBorderDxfId="34" tableBorderDxfId="33">
  <autoFilter ref="B1:J12" xr:uid="{38A42C19-2AE7-4550-93C8-07AAFB6D0BD4}"/>
  <tableColumns count="9">
    <tableColumn id="1" xr3:uid="{D55865C8-3147-489B-9B46-219DC1C20AD1}" name="flowline_operation_master_name" dataDxfId="32"/>
    <tableColumn id="2" xr3:uid="{BEB0A95B-02B7-4443-8981-FFCC2E1F2F50}" name="pipe_name" dataDxfId="31"/>
    <tableColumn id="3" xr3:uid="{FB86653F-4D13-447D-9EDB-3870DC13073C}" name="note" dataDxfId="30"/>
    <tableColumn id="4" xr3:uid="{D38F43E7-1889-416E-9E67-08A9804C5357}" name="report_number" dataDxfId="29"/>
    <tableColumn id="5" xr3:uid="{65947E1B-8150-48A8-91C1-574E89B8B06E}" name="report_rev" dataDxfId="28"/>
    <tableColumn id="6" xr3:uid="{AFAED1FC-84DE-48AA-8C8C-2F2AF5A0C1AA}" name="created_by" dataDxfId="27"/>
    <tableColumn id="7" xr3:uid="{DB4ED2C6-44A7-4380-8C02-385313F44F3B}" name="created_at" dataDxfId="26"/>
    <tableColumn id="8" xr3:uid="{828FAC5D-97AC-40F6-99A0-45D162693037}" name="updated_by"/>
    <tableColumn id="9" xr3:uid="{08D7DBC2-5A9A-4613-8AB4-B64D80A0CA56}" name="updated_at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59102E-D159-4619-B183-63A71406D779}" name="fatigue_histogram" displayName="fatigue_histogram" ref="B1:K314" totalsRowShown="0" headerRowDxfId="56" dataDxfId="55">
  <autoFilter ref="B1:K314" xr:uid="{7EA7C3A5-84F1-4CCE-B78E-D0FF30892E97}"/>
  <tableColumns count="10">
    <tableColumn id="1" xr3:uid="{AA3B1337-5FF6-4505-AFA1-2B8159BF438A}" name="pipe_name" dataDxfId="54"/>
    <tableColumn id="11" xr3:uid="{27E79876-C78C-4502-9CDC-10A5F418E47B}" name="load_stage" dataDxfId="53"/>
    <tableColumn id="12" xr3:uid="{F80BDA45-CB68-41AD-AD29-E4977E43318D}" name="load_scenario" dataDxfId="52"/>
    <tableColumn id="3" xr3:uid="{FB7E4254-299D-49D5-83C4-B6824EE5F64F}" name="thickness_position" dataDxfId="51"/>
    <tableColumn id="14" xr3:uid="{0DD2B77A-4C34-4662-AA56-A69597B3E28B}" name="longitudinal_position" dataDxfId="50"/>
    <tableColumn id="15" xr3:uid="{5F02FEA8-DDA2-44D1-B8CC-484E23BEFF10}" name="longitudinal_zone" dataDxfId="49"/>
    <tableColumn id="7" xr3:uid="{DC26E8D4-101D-4945-9486-93B46938A336}" name="stress_range" dataDxfId="48"/>
    <tableColumn id="8" xr3:uid="{BE3EAD91-6B10-4975-A384-D078C477F14E}" name="cycle" dataDxfId="47"/>
    <tableColumn id="10" xr3:uid="{823D6465-783B-46FA-9397-F51774AF39FF}" name="unit" dataDxfId="46"/>
    <tableColumn id="9" xr3:uid="{86F0847C-F9A4-49DA-A09E-57E3A370261D}" name="note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E5BE10-5028-4239-A52A-78BCF2AE0FF7}" name="fracture_load" displayName="fracture_load" ref="B1:K312" totalsRowShown="0" headerRowDxfId="25" dataDxfId="24">
  <autoFilter ref="B1:K312" xr:uid="{7EA7C3A5-84F1-4CCE-B78E-D0FF30892E97}"/>
  <tableColumns count="10">
    <tableColumn id="1" xr3:uid="{21B0A587-F2BE-4E71-B3F8-5352A8A166E9}" name="pipe_name" dataDxfId="23"/>
    <tableColumn id="14" xr3:uid="{E2CB376B-1DD3-44F5-A50E-6A72CD52273B}" name="load_stage" dataDxfId="22"/>
    <tableColumn id="10" xr3:uid="{6DC211BE-8E3A-48A8-8F17-F83FE2FB27AC}" name="load_scenario" dataDxfId="21"/>
    <tableColumn id="3" xr3:uid="{00F93CE3-10AB-4AA5-A52D-EEB2FFDBEEFD}" name="thickness_position" dataDxfId="20"/>
    <tableColumn id="15" xr3:uid="{E9AC3F2D-FFF4-4FDE-93AF-2FCEEB35C553}" name="longitudinal_position" dataDxfId="19"/>
    <tableColumn id="13" xr3:uid="{0453772D-01B3-45F5-A6FF-9394CDCB18FA}" name="longitudinal_zone" dataDxfId="18"/>
    <tableColumn id="5" xr3:uid="{1EADC32E-E9E0-43A1-A8F1-ED763F3EF6D0}" name="max_stress" dataDxfId="17"/>
    <tableColumn id="6" xr3:uid="{CFB587A2-F364-48B9-A582-8D6C5308C720}" name="max_strain" dataDxfId="16"/>
    <tableColumn id="2" xr3:uid="{C9C60482-6767-4158-B300-88420EBE1AB9}" name="diff_pressure" dataDxfId="15">
      <calculatedColumnFormula>28.1-26.69</calculatedColumnFormula>
    </tableColumn>
    <tableColumn id="9" xr3:uid="{557AC577-ECEB-4DDD-9D4F-C8207F0B98C0}" name="note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61A79B-8BB3-4AE7-8443-6BF390F7CD0E}" name="param_info" displayName="param_info" ref="A1:D30" totalsRowShown="0" headerRowDxfId="13" dataDxfId="12" tableBorderDxfId="11">
  <autoFilter ref="A1:D30" xr:uid="{4EC056DA-CA00-46D3-A642-42CB5FAC311C}">
    <filterColumn colId="0" hiddenButton="1"/>
    <filterColumn colId="1" hiddenButton="1"/>
    <filterColumn colId="2" hiddenButton="1"/>
    <filterColumn colId="3" hiddenButton="1"/>
  </autoFilter>
  <tableColumns count="4">
    <tableColumn id="1" xr3:uid="{CDD5EBEB-0CEF-4D4E-B177-EFE342164D39}" name="table" dataDxfId="10"/>
    <tableColumn id="2" xr3:uid="{382B6446-8891-46BC-9B01-28C1CAA9F4D0}" name="parameter_name" dataDxfId="9"/>
    <tableColumn id="3" xr3:uid="{94EF54E1-7327-48C9-94E8-1E5CE7F095FE}" name="description" dataDxfId="8"/>
    <tableColumn id="4" xr3:uid="{099FE495-DC21-499B-BDD7-D4247F367E5E}" name="unit" dataDxfId="7"/>
  </tableColumns>
  <tableStyleInfo name="custom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952116-A974-4BD3-B08D-D2007CA01780}" name="validation" displayName="validation" ref="A1:D40" totalsRowShown="0" headerRowDxfId="6" dataDxfId="4" headerRowBorderDxfId="5">
  <autoFilter ref="A1:D40" xr:uid="{7F952116-A974-4BD3-B08D-D2007CA01780}"/>
  <tableColumns count="4">
    <tableColumn id="1" xr3:uid="{AA49246A-52DA-46A4-A156-92B4954E73F2}" name="load_strage" dataDxfId="3"/>
    <tableColumn id="5" xr3:uid="{4D4EFE93-22A8-47FA-BE9A-8435BFB4924B}" name="load_scenario" dataDxfId="2"/>
    <tableColumn id="2" xr3:uid="{4B555518-5DF9-46CC-B42E-DEDF29B5B900}" name="thickness_position" dataDxfId="1"/>
    <tableColumn id="3" xr3:uid="{A88008C6-00E4-4C0D-A6EB-209056220098}" name="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3-03T17:25:26.86" personId="{7D5E2082-03DA-42E6-A3A5-532D083068F1}" id="{CAB0B77B-F08E-4807-A281-7C9D4A71B9B5}">
    <text xml:space="preserve">Difference due to measuring pressure from MSL or from topside. The provided 69 Mpa is the maximum internal pressure (design) at seabed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69B-D720-442E-9DFA-00F8631412FE}">
  <dimension ref="A1:B8"/>
  <sheetViews>
    <sheetView zoomScale="115" zoomScaleNormal="115" workbookViewId="0"/>
  </sheetViews>
  <sheetFormatPr defaultColWidth="11.1796875" defaultRowHeight="14.5" x14ac:dyDescent="0.35"/>
  <cols>
    <col min="1" max="1" width="23.54296875" customWidth="1"/>
    <col min="2" max="2" width="57.26953125" bestFit="1" customWidth="1"/>
    <col min="3" max="3" width="15" customWidth="1"/>
    <col min="4" max="4" width="9.453125" customWidth="1"/>
    <col min="5" max="5" width="11.54296875" bestFit="1" customWidth="1"/>
    <col min="6" max="6" width="9.54296875" bestFit="1" customWidth="1"/>
    <col min="7" max="7" width="6.81640625" bestFit="1" customWidth="1"/>
    <col min="8" max="8" width="3.453125" bestFit="1" customWidth="1"/>
  </cols>
  <sheetData>
    <row r="1" spans="1:2" ht="15.5" x14ac:dyDescent="0.35">
      <c r="A1" s="3" t="s">
        <v>0</v>
      </c>
      <c r="B1" s="4"/>
    </row>
    <row r="2" spans="1:2" x14ac:dyDescent="0.35">
      <c r="A2" s="5" t="s">
        <v>1</v>
      </c>
      <c r="B2" s="40" t="s">
        <v>2</v>
      </c>
    </row>
    <row r="3" spans="1:2" x14ac:dyDescent="0.35">
      <c r="A3" s="8" t="s">
        <v>3</v>
      </c>
      <c r="B3" s="9"/>
    </row>
    <row r="4" spans="1:2" x14ac:dyDescent="0.35">
      <c r="A4" s="7" t="s">
        <v>4</v>
      </c>
      <c r="B4" s="6" t="s">
        <v>5</v>
      </c>
    </row>
    <row r="5" spans="1:2" x14ac:dyDescent="0.35">
      <c r="A5" s="8" t="s">
        <v>6</v>
      </c>
      <c r="B5" s="9">
        <v>1</v>
      </c>
    </row>
    <row r="6" spans="1:2" x14ac:dyDescent="0.35">
      <c r="A6" s="10" t="s">
        <v>7</v>
      </c>
      <c r="B6" s="9" t="s">
        <v>8</v>
      </c>
    </row>
    <row r="7" spans="1:2" x14ac:dyDescent="0.35">
      <c r="A7" s="8" t="s">
        <v>9</v>
      </c>
      <c r="B7" s="9" t="s">
        <v>10</v>
      </c>
    </row>
    <row r="8" spans="1:2" x14ac:dyDescent="0.35">
      <c r="A8" s="55" t="s">
        <v>11</v>
      </c>
      <c r="B8" s="9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AB7-0FD9-49DD-9132-76701EAA32B7}">
  <dimension ref="A1:J12"/>
  <sheetViews>
    <sheetView zoomScaleNormal="100" workbookViewId="0">
      <selection activeCell="D3" sqref="D3"/>
    </sheetView>
  </sheetViews>
  <sheetFormatPr defaultRowHeight="14.5" x14ac:dyDescent="0.35"/>
  <cols>
    <col min="1" max="1" width="5.453125" bestFit="1" customWidth="1"/>
    <col min="2" max="2" width="43" bestFit="1" customWidth="1"/>
    <col min="3" max="3" width="18" bestFit="1" customWidth="1"/>
    <col min="4" max="4" width="69.54296875" customWidth="1"/>
    <col min="5" max="5" width="21.54296875" style="13" customWidth="1"/>
    <col min="6" max="6" width="14.453125" customWidth="1"/>
    <col min="7" max="7" width="16" customWidth="1"/>
    <col min="8" max="8" width="17.26953125" bestFit="1" customWidth="1"/>
    <col min="9" max="9" width="16.1796875" customWidth="1"/>
    <col min="10" max="10" width="15.453125" customWidth="1"/>
    <col min="14" max="14" width="19.453125" bestFit="1" customWidth="1"/>
    <col min="15" max="15" width="27.1796875" bestFit="1" customWidth="1"/>
  </cols>
  <sheetData>
    <row r="1" spans="1:10" ht="15.5" x14ac:dyDescent="0.35">
      <c r="A1" t="s">
        <v>13</v>
      </c>
      <c r="B1" s="11" t="s">
        <v>14</v>
      </c>
      <c r="C1" s="11" t="s">
        <v>15</v>
      </c>
      <c r="D1" s="11" t="s">
        <v>3</v>
      </c>
      <c r="E1" s="12" t="s">
        <v>16</v>
      </c>
      <c r="F1" s="12" t="s">
        <v>17</v>
      </c>
      <c r="G1" s="11" t="s">
        <v>18</v>
      </c>
      <c r="H1" s="11" t="s">
        <v>19</v>
      </c>
      <c r="I1" s="11" t="s">
        <v>20</v>
      </c>
      <c r="J1" s="11" t="s">
        <v>21</v>
      </c>
    </row>
    <row r="2" spans="1:10" ht="15.5" x14ac:dyDescent="0.35">
      <c r="A2" s="39" t="s">
        <v>22</v>
      </c>
      <c r="B2" s="20"/>
      <c r="C2" s="21"/>
      <c r="D2" s="22"/>
      <c r="E2" s="23"/>
      <c r="F2" s="24"/>
      <c r="G2" s="24"/>
      <c r="H2" s="17"/>
      <c r="I2" s="18"/>
      <c r="J2" s="18"/>
    </row>
    <row r="3" spans="1:10" ht="28.5" x14ac:dyDescent="0.35">
      <c r="A3" s="25"/>
      <c r="B3" s="19" t="s">
        <v>23</v>
      </c>
      <c r="C3" s="19" t="s">
        <v>24</v>
      </c>
      <c r="D3" s="56" t="s">
        <v>25</v>
      </c>
      <c r="E3" s="62" t="s">
        <v>26</v>
      </c>
      <c r="F3" s="62" t="s">
        <v>27</v>
      </c>
      <c r="G3" s="59" t="s">
        <v>28</v>
      </c>
      <c r="H3" s="59">
        <v>46084</v>
      </c>
    </row>
    <row r="4" spans="1:10" ht="28.5" x14ac:dyDescent="0.35">
      <c r="A4" s="25"/>
      <c r="B4" s="19" t="s">
        <v>29</v>
      </c>
      <c r="C4" s="19" t="s">
        <v>30</v>
      </c>
      <c r="D4" s="56" t="s">
        <v>31</v>
      </c>
      <c r="E4" s="62" t="s">
        <v>26</v>
      </c>
      <c r="F4" s="62" t="s">
        <v>27</v>
      </c>
      <c r="G4" s="59" t="s">
        <v>28</v>
      </c>
      <c r="H4" s="59">
        <v>46084</v>
      </c>
    </row>
    <row r="5" spans="1:10" x14ac:dyDescent="0.35">
      <c r="A5" s="25" t="s">
        <v>32</v>
      </c>
      <c r="B5" s="19"/>
      <c r="C5" s="57"/>
      <c r="D5" s="56"/>
      <c r="E5" s="62"/>
      <c r="F5" s="62"/>
      <c r="G5" s="59"/>
      <c r="H5" s="74"/>
    </row>
    <row r="6" spans="1:10" ht="28.5" x14ac:dyDescent="0.35">
      <c r="A6" s="25"/>
      <c r="B6" s="19" t="s">
        <v>33</v>
      </c>
      <c r="C6" s="19" t="s">
        <v>34</v>
      </c>
      <c r="D6" s="56" t="s">
        <v>35</v>
      </c>
      <c r="E6" s="62" t="s">
        <v>26</v>
      </c>
      <c r="F6" s="62" t="s">
        <v>27</v>
      </c>
      <c r="G6" s="59" t="s">
        <v>28</v>
      </c>
      <c r="H6" s="59">
        <v>46084</v>
      </c>
    </row>
    <row r="7" spans="1:10" ht="28.5" x14ac:dyDescent="0.35">
      <c r="A7" s="25"/>
      <c r="B7" s="19" t="s">
        <v>36</v>
      </c>
      <c r="C7" s="19" t="s">
        <v>37</v>
      </c>
      <c r="D7" s="56" t="s">
        <v>38</v>
      </c>
      <c r="E7" s="62" t="s">
        <v>26</v>
      </c>
      <c r="F7" s="62" t="s">
        <v>27</v>
      </c>
      <c r="G7" s="59" t="s">
        <v>28</v>
      </c>
      <c r="H7" s="59">
        <v>46084</v>
      </c>
    </row>
    <row r="8" spans="1:10" x14ac:dyDescent="0.35">
      <c r="A8" s="25" t="s">
        <v>32</v>
      </c>
      <c r="B8" s="19"/>
      <c r="C8" s="57"/>
      <c r="D8" s="56"/>
      <c r="E8" s="62"/>
      <c r="F8" s="62"/>
      <c r="G8" s="59"/>
      <c r="H8" s="74"/>
    </row>
    <row r="9" spans="1:10" ht="42.5" x14ac:dyDescent="0.35">
      <c r="A9" s="25"/>
      <c r="B9" s="19" t="s">
        <v>39</v>
      </c>
      <c r="C9" s="19" t="s">
        <v>40</v>
      </c>
      <c r="D9" s="56" t="s">
        <v>41</v>
      </c>
      <c r="E9" s="62" t="s">
        <v>42</v>
      </c>
      <c r="F9" s="62" t="s">
        <v>27</v>
      </c>
      <c r="G9" s="59" t="s">
        <v>43</v>
      </c>
      <c r="H9" s="59">
        <v>46084</v>
      </c>
    </row>
    <row r="10" spans="1:10" x14ac:dyDescent="0.35">
      <c r="A10" s="25" t="s">
        <v>32</v>
      </c>
      <c r="B10" s="19"/>
      <c r="C10" s="57"/>
      <c r="D10" s="56"/>
      <c r="E10" s="62"/>
      <c r="F10" s="62"/>
      <c r="G10" s="59"/>
      <c r="H10" s="74"/>
    </row>
    <row r="11" spans="1:10" ht="42.5" x14ac:dyDescent="0.35">
      <c r="A11" s="25"/>
      <c r="B11" s="19" t="s">
        <v>44</v>
      </c>
      <c r="C11" s="19" t="s">
        <v>45</v>
      </c>
      <c r="D11" s="56" t="s">
        <v>46</v>
      </c>
      <c r="E11" s="62" t="s">
        <v>47</v>
      </c>
      <c r="F11" s="62" t="s">
        <v>27</v>
      </c>
      <c r="G11" s="59" t="s">
        <v>48</v>
      </c>
      <c r="H11" s="60" t="s">
        <v>49</v>
      </c>
    </row>
    <row r="12" spans="1:10" ht="42.5" x14ac:dyDescent="0.35">
      <c r="B12" s="57" t="s">
        <v>50</v>
      </c>
      <c r="C12" s="57" t="s">
        <v>51</v>
      </c>
      <c r="D12" s="56" t="s">
        <v>52</v>
      </c>
      <c r="E12" s="62" t="s">
        <v>53</v>
      </c>
      <c r="F12" s="62" t="s">
        <v>27</v>
      </c>
      <c r="G12" s="59" t="s">
        <v>54</v>
      </c>
      <c r="H12" s="61">
        <v>46114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09D3-3753-431B-98E4-42D664310F34}">
  <dimension ref="A1:M332"/>
  <sheetViews>
    <sheetView topLeftCell="A224" zoomScaleNormal="100" workbookViewId="0">
      <selection activeCell="H246" sqref="H246"/>
    </sheetView>
  </sheetViews>
  <sheetFormatPr defaultRowHeight="14.5" x14ac:dyDescent="0.35"/>
  <cols>
    <col min="1" max="1" width="10.54296875" style="43" customWidth="1"/>
    <col min="2" max="2" width="18.1796875" customWidth="1"/>
    <col min="3" max="3" width="25.26953125" customWidth="1"/>
    <col min="4" max="4" width="33.1796875" customWidth="1"/>
    <col min="5" max="5" width="18.7265625" bestFit="1" customWidth="1"/>
    <col min="6" max="6" width="15.1796875" customWidth="1"/>
    <col min="7" max="7" width="17.7265625" customWidth="1"/>
    <col min="8" max="8" width="14.54296875" bestFit="1" customWidth="1"/>
    <col min="9" max="9" width="9.1796875" bestFit="1" customWidth="1"/>
    <col min="10" max="10" width="8.26953125" bestFit="1" customWidth="1"/>
    <col min="11" max="11" width="72.26953125" bestFit="1" customWidth="1"/>
    <col min="12" max="12" width="11.54296875" customWidth="1"/>
  </cols>
  <sheetData>
    <row r="1" spans="1:12" x14ac:dyDescent="0.35">
      <c r="A1" s="43" t="s">
        <v>13</v>
      </c>
      <c r="B1" s="36" t="s">
        <v>15</v>
      </c>
      <c r="C1" s="36" t="s">
        <v>55</v>
      </c>
      <c r="D1" s="36" t="s">
        <v>56</v>
      </c>
      <c r="E1" s="37" t="s">
        <v>57</v>
      </c>
      <c r="F1" s="37" t="s">
        <v>58</v>
      </c>
      <c r="G1" s="37" t="s">
        <v>59</v>
      </c>
      <c r="H1" s="36" t="s">
        <v>60</v>
      </c>
      <c r="I1" s="36" t="s">
        <v>61</v>
      </c>
      <c r="J1" s="36" t="s">
        <v>62</v>
      </c>
      <c r="K1" s="36" t="s">
        <v>3</v>
      </c>
    </row>
    <row r="2" spans="1:12" ht="15.5" x14ac:dyDescent="0.35">
      <c r="A2" s="67" t="s">
        <v>24</v>
      </c>
      <c r="B2" s="28"/>
      <c r="C2" s="32"/>
      <c r="D2" s="32"/>
      <c r="E2" s="26"/>
      <c r="F2" s="16"/>
      <c r="G2" s="16"/>
      <c r="H2" s="16"/>
      <c r="I2" s="17"/>
      <c r="J2" s="17"/>
      <c r="K2" s="18"/>
    </row>
    <row r="3" spans="1:12" x14ac:dyDescent="0.35">
      <c r="B3" s="27" t="s">
        <v>24</v>
      </c>
      <c r="C3" s="2" t="s">
        <v>63</v>
      </c>
      <c r="D3" s="2" t="s">
        <v>64</v>
      </c>
      <c r="E3" s="2" t="s">
        <v>65</v>
      </c>
      <c r="F3" s="2"/>
      <c r="G3" s="2" t="s">
        <v>66</v>
      </c>
      <c r="H3" s="87">
        <v>231.2</v>
      </c>
      <c r="I3" s="2">
        <v>1</v>
      </c>
      <c r="J3" s="2" t="s">
        <v>67</v>
      </c>
      <c r="K3" s="25" t="s">
        <v>68</v>
      </c>
    </row>
    <row r="4" spans="1:12" x14ac:dyDescent="0.35">
      <c r="B4" s="27" t="s">
        <v>24</v>
      </c>
      <c r="C4" s="2" t="s">
        <v>63</v>
      </c>
      <c r="D4" s="2" t="s">
        <v>64</v>
      </c>
      <c r="E4" s="2" t="s">
        <v>69</v>
      </c>
      <c r="F4" s="2"/>
      <c r="G4" s="2" t="s">
        <v>66</v>
      </c>
      <c r="H4" s="87">
        <v>246.8348</v>
      </c>
      <c r="I4" s="2">
        <v>1</v>
      </c>
      <c r="J4" s="2" t="s">
        <v>67</v>
      </c>
      <c r="K4" s="25" t="s">
        <v>70</v>
      </c>
    </row>
    <row r="5" spans="1:12" x14ac:dyDescent="0.35">
      <c r="B5" s="27" t="s">
        <v>24</v>
      </c>
      <c r="C5" s="2" t="s">
        <v>63</v>
      </c>
      <c r="D5" s="2" t="s">
        <v>64</v>
      </c>
      <c r="E5" s="2" t="s">
        <v>65</v>
      </c>
      <c r="F5" s="2"/>
      <c r="G5" s="2" t="s">
        <v>71</v>
      </c>
      <c r="H5" s="87">
        <v>111</v>
      </c>
      <c r="I5" s="2">
        <v>1</v>
      </c>
      <c r="J5" s="2" t="s">
        <v>67</v>
      </c>
      <c r="K5" s="25" t="s">
        <v>72</v>
      </c>
    </row>
    <row r="6" spans="1:12" x14ac:dyDescent="0.35">
      <c r="B6" s="27" t="s">
        <v>24</v>
      </c>
      <c r="C6" s="2" t="s">
        <v>63</v>
      </c>
      <c r="D6" s="2" t="s">
        <v>64</v>
      </c>
      <c r="E6" s="2" t="s">
        <v>69</v>
      </c>
      <c r="F6" s="2"/>
      <c r="G6" s="2" t="s">
        <v>71</v>
      </c>
      <c r="H6" s="87">
        <v>113.9</v>
      </c>
      <c r="I6" s="2">
        <v>1</v>
      </c>
      <c r="J6" s="2" t="s">
        <v>67</v>
      </c>
      <c r="K6" s="25" t="s">
        <v>73</v>
      </c>
      <c r="L6" s="2"/>
    </row>
    <row r="7" spans="1:12" x14ac:dyDescent="0.35">
      <c r="B7" s="75" t="s">
        <v>24</v>
      </c>
      <c r="C7" s="76" t="s">
        <v>63</v>
      </c>
      <c r="D7" s="76" t="s">
        <v>64</v>
      </c>
      <c r="E7" s="76" t="s">
        <v>65</v>
      </c>
      <c r="F7" s="76"/>
      <c r="G7" s="76" t="s">
        <v>74</v>
      </c>
      <c r="H7" s="88">
        <v>114.3</v>
      </c>
      <c r="I7" s="76">
        <v>1</v>
      </c>
      <c r="J7" s="76" t="s">
        <v>67</v>
      </c>
      <c r="K7" s="78" t="s">
        <v>72</v>
      </c>
      <c r="L7" s="2"/>
    </row>
    <row r="8" spans="1:12" x14ac:dyDescent="0.35">
      <c r="B8" s="75" t="s">
        <v>24</v>
      </c>
      <c r="C8" s="76" t="s">
        <v>63</v>
      </c>
      <c r="D8" s="76" t="s">
        <v>64</v>
      </c>
      <c r="E8" s="76" t="s">
        <v>69</v>
      </c>
      <c r="F8" s="76"/>
      <c r="G8" s="76" t="s">
        <v>74</v>
      </c>
      <c r="H8" s="88">
        <v>115.7</v>
      </c>
      <c r="I8" s="76">
        <v>1</v>
      </c>
      <c r="J8" s="76" t="s">
        <v>67</v>
      </c>
      <c r="K8" s="78" t="s">
        <v>73</v>
      </c>
      <c r="L8" s="2"/>
    </row>
    <row r="9" spans="1:12" x14ac:dyDescent="0.35">
      <c r="B9" s="27" t="s">
        <v>24</v>
      </c>
      <c r="C9" s="2" t="s">
        <v>63</v>
      </c>
      <c r="D9" s="2" t="s">
        <v>75</v>
      </c>
      <c r="E9" s="2" t="s">
        <v>65</v>
      </c>
      <c r="F9" s="2"/>
      <c r="G9" s="2" t="s">
        <v>66</v>
      </c>
      <c r="H9" s="87">
        <v>262.2</v>
      </c>
      <c r="I9" s="2">
        <v>18</v>
      </c>
      <c r="J9" s="2" t="s">
        <v>67</v>
      </c>
      <c r="K9" s="25" t="s">
        <v>76</v>
      </c>
      <c r="L9" s="2"/>
    </row>
    <row r="10" spans="1:12" x14ac:dyDescent="0.35">
      <c r="B10" s="27" t="s">
        <v>24</v>
      </c>
      <c r="C10" s="2" t="s">
        <v>63</v>
      </c>
      <c r="D10" s="2" t="s">
        <v>75</v>
      </c>
      <c r="E10" s="2" t="s">
        <v>69</v>
      </c>
      <c r="F10" s="2"/>
      <c r="G10" s="2" t="s">
        <v>66</v>
      </c>
      <c r="H10" s="87">
        <v>294.2</v>
      </c>
      <c r="I10" s="2">
        <v>18</v>
      </c>
      <c r="J10" s="2" t="s">
        <v>67</v>
      </c>
      <c r="K10" s="25" t="s">
        <v>77</v>
      </c>
      <c r="L10" s="2"/>
    </row>
    <row r="11" spans="1:12" x14ac:dyDescent="0.35">
      <c r="B11" s="27" t="s">
        <v>24</v>
      </c>
      <c r="C11" s="2" t="s">
        <v>63</v>
      </c>
      <c r="D11" s="2" t="s">
        <v>75</v>
      </c>
      <c r="E11" s="2" t="s">
        <v>65</v>
      </c>
      <c r="F11" s="2"/>
      <c r="G11" s="2" t="s">
        <v>71</v>
      </c>
      <c r="H11" s="87">
        <v>89.3</v>
      </c>
      <c r="I11" s="2">
        <v>18</v>
      </c>
      <c r="J11" s="2" t="s">
        <v>67</v>
      </c>
      <c r="K11" s="25" t="s">
        <v>78</v>
      </c>
      <c r="L11" s="2"/>
    </row>
    <row r="12" spans="1:12" x14ac:dyDescent="0.35">
      <c r="B12" s="27" t="s">
        <v>24</v>
      </c>
      <c r="C12" s="2" t="s">
        <v>63</v>
      </c>
      <c r="D12" s="2" t="s">
        <v>75</v>
      </c>
      <c r="E12" s="2" t="s">
        <v>69</v>
      </c>
      <c r="F12" s="2"/>
      <c r="G12" s="2" t="s">
        <v>71</v>
      </c>
      <c r="H12" s="87">
        <v>94.1</v>
      </c>
      <c r="I12" s="2">
        <v>18</v>
      </c>
      <c r="J12" s="2" t="s">
        <v>67</v>
      </c>
      <c r="K12" s="25" t="s">
        <v>79</v>
      </c>
      <c r="L12" s="2"/>
    </row>
    <row r="13" spans="1:12" x14ac:dyDescent="0.35">
      <c r="B13" s="75" t="s">
        <v>24</v>
      </c>
      <c r="C13" s="76" t="s">
        <v>63</v>
      </c>
      <c r="D13" s="76" t="s">
        <v>75</v>
      </c>
      <c r="E13" s="76" t="s">
        <v>65</v>
      </c>
      <c r="F13" s="76"/>
      <c r="G13" s="76" t="s">
        <v>74</v>
      </c>
      <c r="H13" s="88">
        <v>51.5072324799999</v>
      </c>
      <c r="I13" s="76">
        <v>18</v>
      </c>
      <c r="J13" s="76" t="s">
        <v>67</v>
      </c>
      <c r="K13" s="78" t="s">
        <v>78</v>
      </c>
      <c r="L13" s="2"/>
    </row>
    <row r="14" spans="1:12" x14ac:dyDescent="0.35">
      <c r="B14" s="75" t="s">
        <v>24</v>
      </c>
      <c r="C14" s="76" t="s">
        <v>63</v>
      </c>
      <c r="D14" s="76" t="s">
        <v>75</v>
      </c>
      <c r="E14" s="76" t="s">
        <v>69</v>
      </c>
      <c r="F14" s="76"/>
      <c r="G14" s="76" t="s">
        <v>74</v>
      </c>
      <c r="H14" s="88">
        <v>52.283900460000005</v>
      </c>
      <c r="I14" s="76">
        <v>18</v>
      </c>
      <c r="J14" s="76" t="s">
        <v>67</v>
      </c>
      <c r="K14" s="78" t="s">
        <v>79</v>
      </c>
      <c r="L14" s="2"/>
    </row>
    <row r="15" spans="1:12" x14ac:dyDescent="0.35">
      <c r="B15" s="27" t="s">
        <v>24</v>
      </c>
      <c r="C15" s="2" t="s">
        <v>63</v>
      </c>
      <c r="D15" s="2" t="s">
        <v>80</v>
      </c>
      <c r="E15" s="2" t="s">
        <v>65</v>
      </c>
      <c r="F15" s="2"/>
      <c r="G15" s="2" t="s">
        <v>66</v>
      </c>
      <c r="H15" s="87">
        <v>84.915622000000013</v>
      </c>
      <c r="I15" s="2">
        <v>18</v>
      </c>
      <c r="J15" s="2" t="s">
        <v>67</v>
      </c>
      <c r="K15" s="25" t="s">
        <v>81</v>
      </c>
      <c r="L15" s="2"/>
    </row>
    <row r="16" spans="1:12" x14ac:dyDescent="0.35">
      <c r="B16" s="27" t="s">
        <v>24</v>
      </c>
      <c r="C16" s="2" t="s">
        <v>63</v>
      </c>
      <c r="D16" s="2" t="s">
        <v>80</v>
      </c>
      <c r="E16" s="2" t="s">
        <v>69</v>
      </c>
      <c r="F16" s="2"/>
      <c r="G16" s="2" t="s">
        <v>66</v>
      </c>
      <c r="H16" s="87">
        <v>94.089520800000003</v>
      </c>
      <c r="I16" s="2">
        <v>18</v>
      </c>
      <c r="J16" s="2" t="s">
        <v>67</v>
      </c>
      <c r="K16" s="25" t="s">
        <v>82</v>
      </c>
      <c r="L16" s="2"/>
    </row>
    <row r="17" spans="2:12" x14ac:dyDescent="0.35">
      <c r="B17" s="27" t="s">
        <v>24</v>
      </c>
      <c r="C17" s="2" t="s">
        <v>63</v>
      </c>
      <c r="D17" s="2" t="s">
        <v>80</v>
      </c>
      <c r="E17" s="2" t="s">
        <v>65</v>
      </c>
      <c r="F17" s="2"/>
      <c r="G17" s="2" t="s">
        <v>71</v>
      </c>
      <c r="H17" s="87">
        <v>35.133788800000005</v>
      </c>
      <c r="I17" s="2">
        <v>18</v>
      </c>
      <c r="J17" s="2" t="s">
        <v>67</v>
      </c>
      <c r="K17" s="25" t="s">
        <v>83</v>
      </c>
      <c r="L17" s="2"/>
    </row>
    <row r="18" spans="2:12" x14ac:dyDescent="0.35">
      <c r="B18" s="27" t="s">
        <v>24</v>
      </c>
      <c r="C18" s="2" t="s">
        <v>63</v>
      </c>
      <c r="D18" s="2" t="s">
        <v>80</v>
      </c>
      <c r="E18" s="2" t="s">
        <v>69</v>
      </c>
      <c r="F18" s="2"/>
      <c r="G18" s="2" t="s">
        <v>71</v>
      </c>
      <c r="H18" s="87">
        <v>38.281711600000001</v>
      </c>
      <c r="I18" s="2">
        <v>18</v>
      </c>
      <c r="J18" s="2" t="s">
        <v>67</v>
      </c>
      <c r="K18" s="25" t="s">
        <v>84</v>
      </c>
      <c r="L18" s="2"/>
    </row>
    <row r="19" spans="2:12" x14ac:dyDescent="0.35">
      <c r="B19" s="75" t="s">
        <v>24</v>
      </c>
      <c r="C19" s="76" t="s">
        <v>63</v>
      </c>
      <c r="D19" s="76" t="s">
        <v>80</v>
      </c>
      <c r="E19" s="76" t="s">
        <v>65</v>
      </c>
      <c r="F19" s="76"/>
      <c r="G19" s="76" t="s">
        <v>74</v>
      </c>
      <c r="H19" s="88">
        <v>30.327017600000001</v>
      </c>
      <c r="I19" s="76">
        <v>18</v>
      </c>
      <c r="J19" s="76" t="s">
        <v>67</v>
      </c>
      <c r="K19" s="78" t="s">
        <v>83</v>
      </c>
      <c r="L19" s="2"/>
    </row>
    <row r="20" spans="2:12" x14ac:dyDescent="0.35">
      <c r="B20" s="75" t="s">
        <v>24</v>
      </c>
      <c r="C20" s="76" t="s">
        <v>63</v>
      </c>
      <c r="D20" s="76" t="s">
        <v>80</v>
      </c>
      <c r="E20" s="76" t="s">
        <v>69</v>
      </c>
      <c r="F20" s="76"/>
      <c r="G20" s="76" t="s">
        <v>74</v>
      </c>
      <c r="H20" s="88">
        <v>31.507949000000004</v>
      </c>
      <c r="I20" s="76">
        <v>18</v>
      </c>
      <c r="J20" s="76" t="s">
        <v>67</v>
      </c>
      <c r="K20" s="78" t="s">
        <v>84</v>
      </c>
      <c r="L20" s="2"/>
    </row>
    <row r="21" spans="2:12" x14ac:dyDescent="0.35">
      <c r="B21" s="27" t="s">
        <v>24</v>
      </c>
      <c r="C21" s="2" t="s">
        <v>63</v>
      </c>
      <c r="D21" s="2" t="s">
        <v>85</v>
      </c>
      <c r="E21" s="2" t="s">
        <v>65</v>
      </c>
      <c r="F21" s="2"/>
      <c r="G21" s="2" t="s">
        <v>66</v>
      </c>
      <c r="H21" s="87">
        <v>60.098614400000002</v>
      </c>
      <c r="I21" s="2">
        <v>36</v>
      </c>
      <c r="J21" s="2" t="s">
        <v>67</v>
      </c>
      <c r="K21" s="25" t="s">
        <v>76</v>
      </c>
      <c r="L21" s="2"/>
    </row>
    <row r="22" spans="2:12" x14ac:dyDescent="0.35">
      <c r="B22" s="27" t="s">
        <v>24</v>
      </c>
      <c r="C22" s="2" t="s">
        <v>63</v>
      </c>
      <c r="D22" s="2" t="s">
        <v>85</v>
      </c>
      <c r="E22" s="2" t="s">
        <v>69</v>
      </c>
      <c r="F22" s="2"/>
      <c r="G22" s="2" t="s">
        <v>66</v>
      </c>
      <c r="H22" s="87">
        <v>67.093892800000006</v>
      </c>
      <c r="I22" s="2">
        <v>36</v>
      </c>
      <c r="J22" s="2" t="s">
        <v>67</v>
      </c>
      <c r="K22" s="25" t="s">
        <v>77</v>
      </c>
      <c r="L22" s="2"/>
    </row>
    <row r="23" spans="2:12" x14ac:dyDescent="0.35">
      <c r="B23" s="27" t="s">
        <v>24</v>
      </c>
      <c r="C23" s="2" t="s">
        <v>63</v>
      </c>
      <c r="D23" s="2" t="s">
        <v>85</v>
      </c>
      <c r="E23" s="2" t="s">
        <v>65</v>
      </c>
      <c r="F23" s="2"/>
      <c r="G23" s="2" t="s">
        <v>71</v>
      </c>
      <c r="H23" s="87">
        <v>38.582288800000001</v>
      </c>
      <c r="I23" s="2">
        <v>36</v>
      </c>
      <c r="J23" s="2" t="s">
        <v>67</v>
      </c>
      <c r="K23" s="25" t="s">
        <v>78</v>
      </c>
      <c r="L23" s="2"/>
    </row>
    <row r="24" spans="2:12" x14ac:dyDescent="0.35">
      <c r="B24" s="27" t="s">
        <v>24</v>
      </c>
      <c r="C24" s="2" t="s">
        <v>63</v>
      </c>
      <c r="D24" s="2" t="s">
        <v>85</v>
      </c>
      <c r="E24" s="2" t="s">
        <v>69</v>
      </c>
      <c r="F24" s="2"/>
      <c r="G24" s="2" t="s">
        <v>71</v>
      </c>
      <c r="H24" s="87">
        <v>41.093157600000005</v>
      </c>
      <c r="I24" s="2">
        <v>36</v>
      </c>
      <c r="J24" s="2" t="s">
        <v>67</v>
      </c>
      <c r="K24" s="25" t="s">
        <v>79</v>
      </c>
      <c r="L24" s="2"/>
    </row>
    <row r="25" spans="2:12" x14ac:dyDescent="0.35">
      <c r="B25" s="75" t="s">
        <v>24</v>
      </c>
      <c r="C25" s="76" t="s">
        <v>63</v>
      </c>
      <c r="D25" s="76" t="s">
        <v>85</v>
      </c>
      <c r="E25" s="76" t="s">
        <v>65</v>
      </c>
      <c r="F25" s="76"/>
      <c r="G25" s="76" t="s">
        <v>74</v>
      </c>
      <c r="H25" s="88">
        <v>35.4594284</v>
      </c>
      <c r="I25" s="76">
        <v>36</v>
      </c>
      <c r="J25" s="76" t="s">
        <v>67</v>
      </c>
      <c r="K25" s="78" t="s">
        <v>78</v>
      </c>
      <c r="L25" s="2"/>
    </row>
    <row r="26" spans="2:12" x14ac:dyDescent="0.35">
      <c r="B26" s="75" t="s">
        <v>24</v>
      </c>
      <c r="C26" s="76" t="s">
        <v>63</v>
      </c>
      <c r="D26" s="76" t="s">
        <v>85</v>
      </c>
      <c r="E26" s="76" t="s">
        <v>69</v>
      </c>
      <c r="F26" s="76"/>
      <c r="G26" s="76" t="s">
        <v>74</v>
      </c>
      <c r="H26" s="88">
        <v>36.192103200000005</v>
      </c>
      <c r="I26" s="76">
        <v>36</v>
      </c>
      <c r="J26" s="76" t="s">
        <v>67</v>
      </c>
      <c r="K26" s="78" t="s">
        <v>79</v>
      </c>
      <c r="L26" s="2"/>
    </row>
    <row r="27" spans="2:12" x14ac:dyDescent="0.35">
      <c r="B27" s="27" t="s">
        <v>24</v>
      </c>
      <c r="C27" s="2" t="s">
        <v>63</v>
      </c>
      <c r="D27" s="27" t="s">
        <v>86</v>
      </c>
      <c r="E27" s="2" t="s">
        <v>65</v>
      </c>
      <c r="F27" s="2"/>
      <c r="G27" s="2" t="s">
        <v>66</v>
      </c>
      <c r="H27" s="87">
        <v>245.30026472727272</v>
      </c>
      <c r="I27" s="2">
        <v>12</v>
      </c>
      <c r="J27" s="2"/>
      <c r="K27" s="25" t="s">
        <v>76</v>
      </c>
      <c r="L27" s="2"/>
    </row>
    <row r="28" spans="2:12" x14ac:dyDescent="0.35">
      <c r="B28" s="27" t="s">
        <v>24</v>
      </c>
      <c r="C28" s="2" t="s">
        <v>63</v>
      </c>
      <c r="D28" s="27" t="s">
        <v>86</v>
      </c>
      <c r="E28" s="2" t="s">
        <v>69</v>
      </c>
      <c r="F28" s="2"/>
      <c r="G28" s="2" t="s">
        <v>66</v>
      </c>
      <c r="H28" s="87">
        <v>274.55986036363635</v>
      </c>
      <c r="I28" s="2">
        <v>12</v>
      </c>
      <c r="J28" s="2"/>
      <c r="K28" s="25" t="s">
        <v>77</v>
      </c>
      <c r="L28" s="2"/>
    </row>
    <row r="29" spans="2:12" x14ac:dyDescent="0.35">
      <c r="B29" s="27" t="s">
        <v>24</v>
      </c>
      <c r="C29" s="2" t="s">
        <v>63</v>
      </c>
      <c r="D29" s="27" t="s">
        <v>86</v>
      </c>
      <c r="E29" s="2" t="s">
        <v>65</v>
      </c>
      <c r="F29" s="2"/>
      <c r="G29" s="2" t="s">
        <v>71</v>
      </c>
      <c r="H29" s="87">
        <v>97.837834599999994</v>
      </c>
      <c r="I29" s="2">
        <v>12</v>
      </c>
      <c r="J29" s="2"/>
      <c r="K29" s="25" t="s">
        <v>78</v>
      </c>
      <c r="L29" s="2"/>
    </row>
    <row r="30" spans="2:12" x14ac:dyDescent="0.35">
      <c r="B30" s="27" t="s">
        <v>24</v>
      </c>
      <c r="C30" s="2" t="s">
        <v>63</v>
      </c>
      <c r="D30" s="27" t="s">
        <v>86</v>
      </c>
      <c r="E30" s="2" t="s">
        <v>69</v>
      </c>
      <c r="F30" s="2"/>
      <c r="G30" s="2" t="s">
        <v>71</v>
      </c>
      <c r="H30" s="87">
        <v>102.78917440000001</v>
      </c>
      <c r="I30" s="2">
        <v>12</v>
      </c>
      <c r="J30" s="2"/>
      <c r="K30" s="25" t="s">
        <v>79</v>
      </c>
      <c r="L30" s="2"/>
    </row>
    <row r="31" spans="2:12" x14ac:dyDescent="0.35">
      <c r="B31" s="75" t="s">
        <v>24</v>
      </c>
      <c r="C31" s="76" t="s">
        <v>63</v>
      </c>
      <c r="D31" s="75" t="s">
        <v>86</v>
      </c>
      <c r="E31" s="76" t="s">
        <v>65</v>
      </c>
      <c r="F31" s="76"/>
      <c r="G31" s="76" t="s">
        <v>74</v>
      </c>
      <c r="H31" s="88">
        <v>61.654833900000007</v>
      </c>
      <c r="I31" s="2">
        <v>12</v>
      </c>
      <c r="J31" s="76"/>
      <c r="K31" s="78" t="s">
        <v>78</v>
      </c>
      <c r="L31" s="2"/>
    </row>
    <row r="32" spans="2:12" x14ac:dyDescent="0.35">
      <c r="B32" s="75" t="s">
        <v>24</v>
      </c>
      <c r="C32" s="76" t="s">
        <v>63</v>
      </c>
      <c r="D32" s="75" t="s">
        <v>86</v>
      </c>
      <c r="E32" s="76" t="s">
        <v>69</v>
      </c>
      <c r="F32" s="76"/>
      <c r="G32" s="76" t="s">
        <v>74</v>
      </c>
      <c r="H32" s="88">
        <v>61.758323000000004</v>
      </c>
      <c r="I32" s="2">
        <v>12</v>
      </c>
      <c r="J32" s="76"/>
      <c r="K32" s="78" t="s">
        <v>79</v>
      </c>
      <c r="L32" s="2"/>
    </row>
    <row r="33" spans="2:12" x14ac:dyDescent="0.35">
      <c r="B33" s="27" t="s">
        <v>24</v>
      </c>
      <c r="C33" s="2" t="s">
        <v>63</v>
      </c>
      <c r="D33" s="27" t="s">
        <v>87</v>
      </c>
      <c r="E33" s="2" t="s">
        <v>65</v>
      </c>
      <c r="F33" s="2"/>
      <c r="G33" s="2" t="s">
        <v>66</v>
      </c>
      <c r="H33" s="87">
        <v>96.864376400000012</v>
      </c>
      <c r="I33" s="2">
        <v>12</v>
      </c>
      <c r="J33" s="2" t="s">
        <v>67</v>
      </c>
      <c r="K33" s="25" t="s">
        <v>76</v>
      </c>
      <c r="L33" s="2"/>
    </row>
    <row r="34" spans="2:12" x14ac:dyDescent="0.35">
      <c r="B34" s="27" t="s">
        <v>24</v>
      </c>
      <c r="C34" s="2" t="s">
        <v>63</v>
      </c>
      <c r="D34" s="27" t="s">
        <v>87</v>
      </c>
      <c r="E34" s="2" t="s">
        <v>69</v>
      </c>
      <c r="F34" s="2"/>
      <c r="G34" s="2" t="s">
        <v>66</v>
      </c>
      <c r="H34" s="87">
        <v>107.32533240000001</v>
      </c>
      <c r="I34" s="2">
        <v>12</v>
      </c>
      <c r="J34" s="2" t="s">
        <v>67</v>
      </c>
      <c r="K34" s="25" t="s">
        <v>77</v>
      </c>
      <c r="L34" s="2"/>
    </row>
    <row r="35" spans="2:12" x14ac:dyDescent="0.35">
      <c r="B35" s="27" t="s">
        <v>24</v>
      </c>
      <c r="C35" s="2" t="s">
        <v>63</v>
      </c>
      <c r="D35" s="27" t="s">
        <v>87</v>
      </c>
      <c r="E35" s="2" t="s">
        <v>65</v>
      </c>
      <c r="F35" s="2"/>
      <c r="G35" s="2" t="s">
        <v>71</v>
      </c>
      <c r="H35" s="87">
        <v>40.625813800000003</v>
      </c>
      <c r="I35" s="2">
        <v>12</v>
      </c>
      <c r="J35" s="2" t="s">
        <v>67</v>
      </c>
      <c r="K35" s="25" t="s">
        <v>78</v>
      </c>
      <c r="L35" s="2"/>
    </row>
    <row r="36" spans="2:12" x14ac:dyDescent="0.35">
      <c r="B36" s="27" t="s">
        <v>24</v>
      </c>
      <c r="C36" s="2" t="s">
        <v>63</v>
      </c>
      <c r="D36" s="27" t="s">
        <v>87</v>
      </c>
      <c r="E36" s="2" t="s">
        <v>69</v>
      </c>
      <c r="F36" s="2"/>
      <c r="G36" s="2" t="s">
        <v>71</v>
      </c>
      <c r="H36" s="87">
        <v>42.137884800000002</v>
      </c>
      <c r="I36" s="2">
        <v>12</v>
      </c>
      <c r="J36" s="2" t="s">
        <v>67</v>
      </c>
      <c r="K36" s="25" t="s">
        <v>79</v>
      </c>
      <c r="L36" s="2"/>
    </row>
    <row r="37" spans="2:12" x14ac:dyDescent="0.35">
      <c r="B37" s="75" t="s">
        <v>24</v>
      </c>
      <c r="C37" s="76" t="s">
        <v>63</v>
      </c>
      <c r="D37" s="75" t="s">
        <v>87</v>
      </c>
      <c r="E37" s="76" t="s">
        <v>65</v>
      </c>
      <c r="F37" s="76"/>
      <c r="G37" s="76" t="s">
        <v>74</v>
      </c>
      <c r="H37" s="88">
        <v>38.050911800000002</v>
      </c>
      <c r="I37" s="76">
        <v>12</v>
      </c>
      <c r="J37" s="76" t="s">
        <v>67</v>
      </c>
      <c r="K37" s="78" t="s">
        <v>78</v>
      </c>
      <c r="L37" s="2"/>
    </row>
    <row r="38" spans="2:12" x14ac:dyDescent="0.35">
      <c r="B38" s="75" t="s">
        <v>24</v>
      </c>
      <c r="C38" s="76" t="s">
        <v>63</v>
      </c>
      <c r="D38" s="75" t="s">
        <v>87</v>
      </c>
      <c r="E38" s="76" t="s">
        <v>69</v>
      </c>
      <c r="F38" s="76"/>
      <c r="G38" s="76" t="s">
        <v>74</v>
      </c>
      <c r="H38" s="88">
        <v>39.067148449999998</v>
      </c>
      <c r="I38" s="76">
        <v>12</v>
      </c>
      <c r="J38" s="76" t="s">
        <v>67</v>
      </c>
      <c r="K38" s="78" t="s">
        <v>79</v>
      </c>
      <c r="L38" s="2"/>
    </row>
    <row r="39" spans="2:12" x14ac:dyDescent="0.35">
      <c r="B39" s="27" t="s">
        <v>24</v>
      </c>
      <c r="C39" s="2" t="s">
        <v>63</v>
      </c>
      <c r="D39" s="27" t="s">
        <v>88</v>
      </c>
      <c r="E39" s="2" t="s">
        <v>65</v>
      </c>
      <c r="F39" s="2"/>
      <c r="G39" s="2" t="s">
        <v>66</v>
      </c>
      <c r="H39" s="87">
        <v>57.9238572</v>
      </c>
      <c r="I39" s="2">
        <v>24</v>
      </c>
      <c r="J39" s="2" t="s">
        <v>67</v>
      </c>
      <c r="K39" s="25" t="s">
        <v>76</v>
      </c>
      <c r="L39" s="2"/>
    </row>
    <row r="40" spans="2:12" x14ac:dyDescent="0.35">
      <c r="B40" s="27" t="s">
        <v>24</v>
      </c>
      <c r="C40" s="2" t="s">
        <v>63</v>
      </c>
      <c r="D40" s="27" t="s">
        <v>88</v>
      </c>
      <c r="E40" s="2" t="s">
        <v>69</v>
      </c>
      <c r="F40" s="2"/>
      <c r="G40" s="2" t="s">
        <v>66</v>
      </c>
      <c r="H40" s="87">
        <v>64.977985599999997</v>
      </c>
      <c r="I40" s="2">
        <v>24</v>
      </c>
      <c r="J40" s="2" t="s">
        <v>67</v>
      </c>
      <c r="K40" s="25" t="s">
        <v>77</v>
      </c>
      <c r="L40" s="2"/>
    </row>
    <row r="41" spans="2:12" x14ac:dyDescent="0.35">
      <c r="B41" s="27" t="s">
        <v>24</v>
      </c>
      <c r="C41" s="2" t="s">
        <v>63</v>
      </c>
      <c r="D41" s="27" t="s">
        <v>88</v>
      </c>
      <c r="E41" s="2" t="s">
        <v>65</v>
      </c>
      <c r="F41" s="2"/>
      <c r="G41" s="2" t="s">
        <v>71</v>
      </c>
      <c r="H41" s="87">
        <v>43.415676700000006</v>
      </c>
      <c r="I41" s="2">
        <v>24</v>
      </c>
      <c r="J41" s="2" t="s">
        <v>67</v>
      </c>
      <c r="K41" s="25" t="s">
        <v>78</v>
      </c>
      <c r="L41" s="2"/>
    </row>
    <row r="42" spans="2:12" x14ac:dyDescent="0.35">
      <c r="B42" s="27" t="s">
        <v>24</v>
      </c>
      <c r="C42" s="2" t="s">
        <v>63</v>
      </c>
      <c r="D42" s="27" t="s">
        <v>88</v>
      </c>
      <c r="E42" s="2" t="s">
        <v>69</v>
      </c>
      <c r="F42" s="2"/>
      <c r="G42" s="2" t="s">
        <v>71</v>
      </c>
      <c r="H42" s="87">
        <v>46.486959200000001</v>
      </c>
      <c r="I42" s="2">
        <v>24</v>
      </c>
      <c r="J42" s="2" t="s">
        <v>67</v>
      </c>
      <c r="K42" s="25" t="s">
        <v>79</v>
      </c>
      <c r="L42" s="2"/>
    </row>
    <row r="43" spans="2:12" x14ac:dyDescent="0.35">
      <c r="B43" s="75" t="s">
        <v>24</v>
      </c>
      <c r="C43" s="76" t="s">
        <v>63</v>
      </c>
      <c r="D43" s="75" t="s">
        <v>88</v>
      </c>
      <c r="E43" s="76" t="s">
        <v>65</v>
      </c>
      <c r="F43" s="76"/>
      <c r="G43" s="76" t="s">
        <v>74</v>
      </c>
      <c r="H43" s="88">
        <v>61.654833900000007</v>
      </c>
      <c r="I43" s="76">
        <v>24</v>
      </c>
      <c r="J43" s="76" t="s">
        <v>67</v>
      </c>
      <c r="K43" s="78" t="s">
        <v>78</v>
      </c>
      <c r="L43" s="2"/>
    </row>
    <row r="44" spans="2:12" x14ac:dyDescent="0.35">
      <c r="B44" s="75" t="s">
        <v>24</v>
      </c>
      <c r="C44" s="76" t="s">
        <v>63</v>
      </c>
      <c r="D44" s="75" t="s">
        <v>88</v>
      </c>
      <c r="E44" s="76" t="s">
        <v>69</v>
      </c>
      <c r="F44" s="76"/>
      <c r="G44" s="76" t="s">
        <v>74</v>
      </c>
      <c r="H44" s="88">
        <v>46.486959200000001</v>
      </c>
      <c r="I44" s="76">
        <v>24</v>
      </c>
      <c r="J44" s="76" t="s">
        <v>67</v>
      </c>
      <c r="K44" s="78" t="s">
        <v>79</v>
      </c>
      <c r="L44" s="2"/>
    </row>
    <row r="45" spans="2:12" x14ac:dyDescent="0.35">
      <c r="B45" s="27" t="s">
        <v>24</v>
      </c>
      <c r="C45" s="2" t="s">
        <v>63</v>
      </c>
      <c r="D45" s="2" t="s">
        <v>89</v>
      </c>
      <c r="E45" s="2" t="s">
        <v>65</v>
      </c>
      <c r="F45" s="2"/>
      <c r="G45" s="2" t="s">
        <v>66</v>
      </c>
      <c r="H45" s="87">
        <v>248.0904436363636</v>
      </c>
      <c r="I45" s="2">
        <v>20</v>
      </c>
      <c r="J45" s="2" t="s">
        <v>67</v>
      </c>
      <c r="K45" s="25" t="s">
        <v>76</v>
      </c>
      <c r="L45" s="2"/>
    </row>
    <row r="46" spans="2:12" x14ac:dyDescent="0.35">
      <c r="B46" s="27" t="s">
        <v>24</v>
      </c>
      <c r="C46" s="2" t="s">
        <v>63</v>
      </c>
      <c r="D46" s="2" t="s">
        <v>89</v>
      </c>
      <c r="E46" s="2" t="s">
        <v>69</v>
      </c>
      <c r="F46" s="2"/>
      <c r="G46" s="2" t="s">
        <v>66</v>
      </c>
      <c r="H46" s="87">
        <v>277.28854690909088</v>
      </c>
      <c r="I46" s="2">
        <v>20</v>
      </c>
      <c r="J46" s="2" t="s">
        <v>67</v>
      </c>
      <c r="K46" s="25" t="s">
        <v>77</v>
      </c>
      <c r="L46" s="2"/>
    </row>
    <row r="47" spans="2:12" x14ac:dyDescent="0.35">
      <c r="B47" s="27" t="s">
        <v>24</v>
      </c>
      <c r="C47" s="2" t="s">
        <v>63</v>
      </c>
      <c r="D47" s="2" t="s">
        <v>89</v>
      </c>
      <c r="E47" s="2" t="s">
        <v>65</v>
      </c>
      <c r="F47" s="2"/>
      <c r="G47" s="2" t="s">
        <v>71</v>
      </c>
      <c r="H47" s="87">
        <v>100.9781047</v>
      </c>
      <c r="I47" s="2">
        <v>20</v>
      </c>
      <c r="J47" s="2" t="s">
        <v>67</v>
      </c>
      <c r="K47" s="25" t="s">
        <v>78</v>
      </c>
      <c r="L47" s="2"/>
    </row>
    <row r="48" spans="2:12" x14ac:dyDescent="0.35">
      <c r="B48" s="27" t="s">
        <v>24</v>
      </c>
      <c r="C48" s="2" t="s">
        <v>63</v>
      </c>
      <c r="D48" s="2" t="s">
        <v>89</v>
      </c>
      <c r="E48" s="2" t="s">
        <v>69</v>
      </c>
      <c r="F48" s="2"/>
      <c r="G48" s="2" t="s">
        <v>71</v>
      </c>
      <c r="H48" s="87">
        <v>106.1040486</v>
      </c>
      <c r="I48" s="2">
        <v>20</v>
      </c>
      <c r="J48" s="2" t="s">
        <v>67</v>
      </c>
      <c r="K48" s="25" t="s">
        <v>79</v>
      </c>
      <c r="L48" s="2"/>
    </row>
    <row r="49" spans="1:12" x14ac:dyDescent="0.35">
      <c r="B49" s="75" t="s">
        <v>24</v>
      </c>
      <c r="C49" s="76" t="s">
        <v>63</v>
      </c>
      <c r="D49" s="76" t="s">
        <v>89</v>
      </c>
      <c r="E49" s="76" t="s">
        <v>65</v>
      </c>
      <c r="F49" s="76"/>
      <c r="G49" s="76" t="s">
        <v>74</v>
      </c>
      <c r="H49" s="88">
        <v>62.999794000000001</v>
      </c>
      <c r="I49" s="76">
        <v>20</v>
      </c>
      <c r="J49" s="76" t="s">
        <v>67</v>
      </c>
      <c r="K49" s="78" t="s">
        <v>78</v>
      </c>
      <c r="L49" s="2"/>
    </row>
    <row r="50" spans="1:12" x14ac:dyDescent="0.35">
      <c r="B50" s="75" t="s">
        <v>24</v>
      </c>
      <c r="C50" s="76" t="s">
        <v>63</v>
      </c>
      <c r="D50" s="76" t="s">
        <v>89</v>
      </c>
      <c r="E50" s="76" t="s">
        <v>69</v>
      </c>
      <c r="F50" s="76"/>
      <c r="G50" s="76" t="s">
        <v>74</v>
      </c>
      <c r="H50" s="88">
        <v>36.723380100000007</v>
      </c>
      <c r="I50" s="76">
        <v>20</v>
      </c>
      <c r="J50" s="76" t="s">
        <v>67</v>
      </c>
      <c r="K50" s="78" t="s">
        <v>79</v>
      </c>
      <c r="L50" s="2"/>
    </row>
    <row r="51" spans="1:12" x14ac:dyDescent="0.35">
      <c r="B51" s="27" t="s">
        <v>24</v>
      </c>
      <c r="C51" s="2" t="s">
        <v>63</v>
      </c>
      <c r="D51" s="2" t="s">
        <v>90</v>
      </c>
      <c r="E51" s="2" t="s">
        <v>65</v>
      </c>
      <c r="F51" s="2"/>
      <c r="G51" s="2" t="s">
        <v>66</v>
      </c>
      <c r="H51" s="87">
        <v>88.708065600000012</v>
      </c>
      <c r="I51" s="2">
        <v>20</v>
      </c>
      <c r="J51" s="2" t="s">
        <v>67</v>
      </c>
      <c r="K51" s="25" t="s">
        <v>81</v>
      </c>
      <c r="L51" s="2"/>
    </row>
    <row r="52" spans="1:12" x14ac:dyDescent="0.35">
      <c r="B52" s="27" t="s">
        <v>24</v>
      </c>
      <c r="C52" s="2" t="s">
        <v>63</v>
      </c>
      <c r="D52" s="2" t="s">
        <v>90</v>
      </c>
      <c r="E52" s="2" t="s">
        <v>69</v>
      </c>
      <c r="F52" s="2"/>
      <c r="G52" s="2" t="s">
        <v>66</v>
      </c>
      <c r="H52" s="87">
        <v>98.306003400000009</v>
      </c>
      <c r="I52" s="2">
        <v>20</v>
      </c>
      <c r="J52" s="2" t="s">
        <v>67</v>
      </c>
      <c r="K52" s="25" t="s">
        <v>82</v>
      </c>
      <c r="L52" s="2"/>
    </row>
    <row r="53" spans="1:12" x14ac:dyDescent="0.35">
      <c r="B53" s="27" t="s">
        <v>24</v>
      </c>
      <c r="C53" s="2" t="s">
        <v>63</v>
      </c>
      <c r="D53" s="2" t="s">
        <v>90</v>
      </c>
      <c r="E53" s="2" t="s">
        <v>65</v>
      </c>
      <c r="F53" s="1"/>
      <c r="G53" s="2" t="s">
        <v>71</v>
      </c>
      <c r="H53" s="87">
        <v>40.849864000000004</v>
      </c>
      <c r="I53" s="2">
        <v>20</v>
      </c>
      <c r="J53" s="2" t="s">
        <v>67</v>
      </c>
      <c r="K53" s="25" t="s">
        <v>83</v>
      </c>
      <c r="L53" s="2"/>
    </row>
    <row r="54" spans="1:12" x14ac:dyDescent="0.35">
      <c r="B54" s="27" t="s">
        <v>24</v>
      </c>
      <c r="C54" s="2" t="s">
        <v>63</v>
      </c>
      <c r="D54" s="2" t="s">
        <v>90</v>
      </c>
      <c r="E54" s="2" t="s">
        <v>69</v>
      </c>
      <c r="F54" s="2"/>
      <c r="G54" s="2" t="s">
        <v>71</v>
      </c>
      <c r="H54" s="87">
        <v>42.338964799999999</v>
      </c>
      <c r="I54" s="2">
        <v>20</v>
      </c>
      <c r="J54" s="2" t="s">
        <v>67</v>
      </c>
      <c r="K54" s="25" t="s">
        <v>84</v>
      </c>
    </row>
    <row r="55" spans="1:12" x14ac:dyDescent="0.35">
      <c r="A55" s="70"/>
      <c r="B55" s="75" t="s">
        <v>24</v>
      </c>
      <c r="C55" s="76" t="s">
        <v>63</v>
      </c>
      <c r="D55" s="76" t="s">
        <v>90</v>
      </c>
      <c r="E55" s="76" t="s">
        <v>65</v>
      </c>
      <c r="F55" s="76"/>
      <c r="G55" s="76" t="s">
        <v>74</v>
      </c>
      <c r="H55" s="88">
        <v>36.723380100000007</v>
      </c>
      <c r="I55" s="76">
        <v>20</v>
      </c>
      <c r="J55" s="76" t="s">
        <v>67</v>
      </c>
      <c r="K55" s="78" t="s">
        <v>78</v>
      </c>
    </row>
    <row r="56" spans="1:12" x14ac:dyDescent="0.35">
      <c r="B56" s="75" t="s">
        <v>24</v>
      </c>
      <c r="C56" s="76" t="s">
        <v>63</v>
      </c>
      <c r="D56" s="76" t="s">
        <v>90</v>
      </c>
      <c r="E56" s="76" t="s">
        <v>69</v>
      </c>
      <c r="F56" s="76"/>
      <c r="G56" s="76" t="s">
        <v>74</v>
      </c>
      <c r="H56" s="88">
        <v>37.649937050000005</v>
      </c>
      <c r="I56" s="76">
        <v>20</v>
      </c>
      <c r="J56" s="76" t="s">
        <v>67</v>
      </c>
      <c r="K56" s="78" t="s">
        <v>79</v>
      </c>
    </row>
    <row r="57" spans="1:12" x14ac:dyDescent="0.35">
      <c r="B57" s="27" t="s">
        <v>24</v>
      </c>
      <c r="C57" s="2" t="s">
        <v>63</v>
      </c>
      <c r="D57" s="2" t="s">
        <v>91</v>
      </c>
      <c r="E57" s="2" t="s">
        <v>65</v>
      </c>
      <c r="F57" s="2"/>
      <c r="G57" s="2" t="s">
        <v>66</v>
      </c>
      <c r="H57" s="87">
        <v>51.136624000000005</v>
      </c>
      <c r="I57" s="2">
        <v>40</v>
      </c>
      <c r="J57" s="2" t="s">
        <v>67</v>
      </c>
      <c r="K57" s="25" t="s">
        <v>76</v>
      </c>
    </row>
    <row r="58" spans="1:12" x14ac:dyDescent="0.35">
      <c r="B58" s="27" t="s">
        <v>24</v>
      </c>
      <c r="C58" s="2" t="s">
        <v>63</v>
      </c>
      <c r="D58" s="2" t="s">
        <v>91</v>
      </c>
      <c r="E58" s="2" t="s">
        <v>69</v>
      </c>
      <c r="F58" s="2"/>
      <c r="G58" s="2" t="s">
        <v>66</v>
      </c>
      <c r="H58" s="87">
        <v>56.847348800000006</v>
      </c>
      <c r="I58" s="2">
        <v>40</v>
      </c>
      <c r="J58" s="2" t="s">
        <v>67</v>
      </c>
      <c r="K58" s="25" t="s">
        <v>77</v>
      </c>
    </row>
    <row r="59" spans="1:12" x14ac:dyDescent="0.35">
      <c r="B59" s="80" t="s">
        <v>24</v>
      </c>
      <c r="C59" s="81" t="s">
        <v>63</v>
      </c>
      <c r="D59" s="81" t="s">
        <v>91</v>
      </c>
      <c r="E59" s="81" t="s">
        <v>65</v>
      </c>
      <c r="F59" s="81"/>
      <c r="G59" s="81" t="s">
        <v>71</v>
      </c>
      <c r="H59" s="89">
        <v>31.775304000000002</v>
      </c>
      <c r="I59" s="81">
        <v>40</v>
      </c>
      <c r="J59" s="81" t="s">
        <v>67</v>
      </c>
      <c r="K59" s="82" t="s">
        <v>76</v>
      </c>
    </row>
    <row r="60" spans="1:12" x14ac:dyDescent="0.35">
      <c r="B60" s="83" t="s">
        <v>24</v>
      </c>
      <c r="C60" s="84" t="s">
        <v>63</v>
      </c>
      <c r="D60" s="84" t="s">
        <v>91</v>
      </c>
      <c r="E60" s="84" t="s">
        <v>69</v>
      </c>
      <c r="F60" s="84"/>
      <c r="G60" s="84" t="s">
        <v>71</v>
      </c>
      <c r="H60" s="90">
        <v>33.2346784</v>
      </c>
      <c r="I60" s="84">
        <v>40</v>
      </c>
      <c r="J60" s="84" t="s">
        <v>67</v>
      </c>
      <c r="K60" s="85" t="s">
        <v>77</v>
      </c>
    </row>
    <row r="61" spans="1:12" x14ac:dyDescent="0.35">
      <c r="B61" s="75" t="s">
        <v>24</v>
      </c>
      <c r="C61" s="76" t="s">
        <v>63</v>
      </c>
      <c r="D61" s="76" t="s">
        <v>91</v>
      </c>
      <c r="E61" s="76" t="s">
        <v>65</v>
      </c>
      <c r="F61" s="76"/>
      <c r="G61" s="76" t="s">
        <v>71</v>
      </c>
      <c r="H61" s="88">
        <v>32.933639200000002</v>
      </c>
      <c r="I61" s="76">
        <v>40</v>
      </c>
      <c r="J61" s="76" t="s">
        <v>67</v>
      </c>
      <c r="K61" s="78" t="s">
        <v>78</v>
      </c>
    </row>
    <row r="62" spans="1:12" x14ac:dyDescent="0.35">
      <c r="B62" s="75" t="s">
        <v>24</v>
      </c>
      <c r="C62" s="76" t="s">
        <v>63</v>
      </c>
      <c r="D62" s="76" t="s">
        <v>91</v>
      </c>
      <c r="E62" s="76" t="s">
        <v>69</v>
      </c>
      <c r="F62" s="76"/>
      <c r="G62" s="76" t="s">
        <v>71</v>
      </c>
      <c r="H62" s="88">
        <v>33.683515800000002</v>
      </c>
      <c r="I62" s="76">
        <v>40</v>
      </c>
      <c r="J62" s="76" t="s">
        <v>67</v>
      </c>
      <c r="K62" s="78" t="s">
        <v>79</v>
      </c>
    </row>
    <row r="63" spans="1:12" ht="15.5" x14ac:dyDescent="0.35">
      <c r="A63" s="67" t="s">
        <v>30</v>
      </c>
      <c r="B63" s="86"/>
      <c r="C63" s="33"/>
      <c r="D63" s="14"/>
      <c r="E63" s="26"/>
      <c r="F63" s="16"/>
      <c r="G63" s="16"/>
      <c r="H63" s="16"/>
      <c r="I63" s="17"/>
      <c r="J63" s="17"/>
      <c r="K63" s="18"/>
    </row>
    <row r="64" spans="1:12" x14ac:dyDescent="0.35">
      <c r="B64" s="27" t="s">
        <v>30</v>
      </c>
      <c r="C64" s="2" t="s">
        <v>63</v>
      </c>
      <c r="D64" s="2" t="s">
        <v>64</v>
      </c>
      <c r="E64" s="2" t="s">
        <v>65</v>
      </c>
      <c r="F64" s="2"/>
      <c r="G64" s="2" t="s">
        <v>66</v>
      </c>
      <c r="H64" s="87">
        <v>213.4</v>
      </c>
      <c r="I64" s="2">
        <v>1</v>
      </c>
      <c r="J64" s="2" t="s">
        <v>67</v>
      </c>
      <c r="K64" s="25" t="s">
        <v>92</v>
      </c>
    </row>
    <row r="65" spans="2:11" x14ac:dyDescent="0.35">
      <c r="B65" s="27" t="s">
        <v>30</v>
      </c>
      <c r="C65" s="2" t="s">
        <v>63</v>
      </c>
      <c r="D65" s="2" t="s">
        <v>64</v>
      </c>
      <c r="E65" s="2" t="s">
        <v>69</v>
      </c>
      <c r="F65" s="2"/>
      <c r="G65" s="2" t="s">
        <v>66</v>
      </c>
      <c r="H65" s="87">
        <v>229.83529999999999</v>
      </c>
      <c r="I65" s="2">
        <v>1</v>
      </c>
      <c r="J65" s="2" t="s">
        <v>67</v>
      </c>
      <c r="K65" s="25" t="s">
        <v>93</v>
      </c>
    </row>
    <row r="66" spans="2:11" x14ac:dyDescent="0.35">
      <c r="B66" s="27" t="s">
        <v>30</v>
      </c>
      <c r="C66" s="2" t="s">
        <v>63</v>
      </c>
      <c r="D66" s="2" t="s">
        <v>64</v>
      </c>
      <c r="E66" s="2" t="s">
        <v>65</v>
      </c>
      <c r="F66" s="2"/>
      <c r="G66" s="2" t="s">
        <v>71</v>
      </c>
      <c r="H66" s="87">
        <v>107.7</v>
      </c>
      <c r="I66" s="2">
        <v>1</v>
      </c>
      <c r="J66" s="2" t="s">
        <v>67</v>
      </c>
      <c r="K66" s="25" t="s">
        <v>94</v>
      </c>
    </row>
    <row r="67" spans="2:11" x14ac:dyDescent="0.35">
      <c r="B67" s="27" t="s">
        <v>30</v>
      </c>
      <c r="C67" s="2" t="s">
        <v>63</v>
      </c>
      <c r="D67" s="2" t="s">
        <v>64</v>
      </c>
      <c r="E67" s="2" t="s">
        <v>69</v>
      </c>
      <c r="F67" s="2"/>
      <c r="G67" s="2" t="s">
        <v>71</v>
      </c>
      <c r="H67" s="87">
        <v>110.2</v>
      </c>
      <c r="I67" s="2">
        <v>1</v>
      </c>
      <c r="J67" s="2" t="s">
        <v>67</v>
      </c>
      <c r="K67" s="25" t="s">
        <v>95</v>
      </c>
    </row>
    <row r="68" spans="2:11" x14ac:dyDescent="0.35">
      <c r="B68" s="75" t="s">
        <v>30</v>
      </c>
      <c r="C68" s="76" t="s">
        <v>63</v>
      </c>
      <c r="D68" s="76" t="s">
        <v>64</v>
      </c>
      <c r="E68" s="76" t="s">
        <v>65</v>
      </c>
      <c r="F68" s="76"/>
      <c r="G68" s="76" t="s">
        <v>74</v>
      </c>
      <c r="H68" s="88">
        <v>104.4</v>
      </c>
      <c r="I68" s="76">
        <v>1</v>
      </c>
      <c r="J68" s="76" t="s">
        <v>67</v>
      </c>
      <c r="K68" s="78" t="s">
        <v>94</v>
      </c>
    </row>
    <row r="69" spans="2:11" x14ac:dyDescent="0.35">
      <c r="B69" s="75" t="s">
        <v>30</v>
      </c>
      <c r="C69" s="76" t="s">
        <v>63</v>
      </c>
      <c r="D69" s="76" t="s">
        <v>64</v>
      </c>
      <c r="E69" s="76" t="s">
        <v>69</v>
      </c>
      <c r="F69" s="76"/>
      <c r="G69" s="76" t="s">
        <v>74</v>
      </c>
      <c r="H69" s="88">
        <v>105.3</v>
      </c>
      <c r="I69" s="76">
        <v>1</v>
      </c>
      <c r="J69" s="76" t="s">
        <v>67</v>
      </c>
      <c r="K69" s="78" t="s">
        <v>95</v>
      </c>
    </row>
    <row r="70" spans="2:11" x14ac:dyDescent="0.35">
      <c r="B70" s="27" t="s">
        <v>30</v>
      </c>
      <c r="C70" s="2" t="s">
        <v>63</v>
      </c>
      <c r="D70" s="2" t="s">
        <v>75</v>
      </c>
      <c r="E70" s="2" t="s">
        <v>65</v>
      </c>
      <c r="F70" s="2"/>
      <c r="G70" s="2" t="s">
        <v>66</v>
      </c>
      <c r="H70" s="87">
        <v>290.10681920000002</v>
      </c>
      <c r="I70" s="2">
        <v>18</v>
      </c>
      <c r="J70" s="2" t="s">
        <v>67</v>
      </c>
      <c r="K70" s="25" t="s">
        <v>96</v>
      </c>
    </row>
    <row r="71" spans="2:11" x14ac:dyDescent="0.35">
      <c r="B71" s="27" t="s">
        <v>30</v>
      </c>
      <c r="C71" s="2" t="s">
        <v>63</v>
      </c>
      <c r="D71" s="2" t="s">
        <v>75</v>
      </c>
      <c r="E71" s="2" t="s">
        <v>69</v>
      </c>
      <c r="F71" s="2"/>
      <c r="G71" s="2" t="s">
        <v>66</v>
      </c>
      <c r="H71" s="87">
        <v>329.88907600000005</v>
      </c>
      <c r="I71" s="2">
        <v>18</v>
      </c>
      <c r="J71" s="2" t="s">
        <v>67</v>
      </c>
      <c r="K71" s="25" t="s">
        <v>97</v>
      </c>
    </row>
    <row r="72" spans="2:11" x14ac:dyDescent="0.35">
      <c r="B72" s="27" t="s">
        <v>30</v>
      </c>
      <c r="C72" s="2" t="s">
        <v>63</v>
      </c>
      <c r="D72" s="2" t="s">
        <v>75</v>
      </c>
      <c r="E72" s="2" t="s">
        <v>65</v>
      </c>
      <c r="F72" s="2"/>
      <c r="G72" s="2" t="s">
        <v>71</v>
      </c>
      <c r="H72" s="87">
        <v>130.75988112000002</v>
      </c>
      <c r="I72" s="2">
        <v>18</v>
      </c>
      <c r="J72" s="2" t="s">
        <v>67</v>
      </c>
      <c r="K72" s="25" t="s">
        <v>98</v>
      </c>
    </row>
    <row r="73" spans="2:11" x14ac:dyDescent="0.35">
      <c r="B73" s="27" t="s">
        <v>30</v>
      </c>
      <c r="C73" s="2" t="s">
        <v>63</v>
      </c>
      <c r="D73" s="2" t="s">
        <v>75</v>
      </c>
      <c r="E73" s="2" t="s">
        <v>69</v>
      </c>
      <c r="F73" s="2"/>
      <c r="G73" s="2" t="s">
        <v>71</v>
      </c>
      <c r="H73" s="87">
        <v>138.81205855000002</v>
      </c>
      <c r="I73" s="2">
        <v>18</v>
      </c>
      <c r="J73" s="2" t="s">
        <v>67</v>
      </c>
      <c r="K73" s="25" t="s">
        <v>99</v>
      </c>
    </row>
    <row r="74" spans="2:11" x14ac:dyDescent="0.35">
      <c r="B74" s="75" t="s">
        <v>30</v>
      </c>
      <c r="C74" s="76" t="s">
        <v>63</v>
      </c>
      <c r="D74" s="76" t="s">
        <v>75</v>
      </c>
      <c r="E74" s="76" t="s">
        <v>65</v>
      </c>
      <c r="F74" s="76"/>
      <c r="G74" s="76" t="s">
        <v>74</v>
      </c>
      <c r="H74" s="88">
        <v>83.517463700000008</v>
      </c>
      <c r="I74" s="76">
        <v>18</v>
      </c>
      <c r="J74" s="76" t="s">
        <v>67</v>
      </c>
      <c r="K74" s="78" t="s">
        <v>98</v>
      </c>
    </row>
    <row r="75" spans="2:11" x14ac:dyDescent="0.35">
      <c r="B75" s="75" t="s">
        <v>30</v>
      </c>
      <c r="C75" s="76" t="s">
        <v>63</v>
      </c>
      <c r="D75" s="76" t="s">
        <v>75</v>
      </c>
      <c r="E75" s="76" t="s">
        <v>69</v>
      </c>
      <c r="F75" s="76"/>
      <c r="G75" s="76" t="s">
        <v>74</v>
      </c>
      <c r="H75" s="88">
        <v>84.478135500000008</v>
      </c>
      <c r="I75" s="76">
        <v>18</v>
      </c>
      <c r="J75" s="76" t="s">
        <v>67</v>
      </c>
      <c r="K75" s="78" t="s">
        <v>99</v>
      </c>
    </row>
    <row r="76" spans="2:11" x14ac:dyDescent="0.35">
      <c r="B76" s="27" t="s">
        <v>30</v>
      </c>
      <c r="C76" s="2" t="s">
        <v>63</v>
      </c>
      <c r="D76" s="2" t="s">
        <v>80</v>
      </c>
      <c r="E76" s="2" t="s">
        <v>65</v>
      </c>
      <c r="F76" s="2"/>
      <c r="G76" s="2" t="s">
        <v>66</v>
      </c>
      <c r="H76" s="87">
        <v>152.81768149999999</v>
      </c>
      <c r="I76" s="2">
        <v>18</v>
      </c>
      <c r="J76" s="2" t="s">
        <v>67</v>
      </c>
      <c r="K76" s="25" t="s">
        <v>100</v>
      </c>
    </row>
    <row r="77" spans="2:11" x14ac:dyDescent="0.35">
      <c r="B77" s="27" t="s">
        <v>30</v>
      </c>
      <c r="C77" s="2" t="s">
        <v>63</v>
      </c>
      <c r="D77" s="2" t="s">
        <v>80</v>
      </c>
      <c r="E77" s="2" t="s">
        <v>69</v>
      </c>
      <c r="F77" s="2"/>
      <c r="G77" s="2" t="s">
        <v>66</v>
      </c>
      <c r="H77" s="87">
        <v>172.87611880000003</v>
      </c>
      <c r="I77" s="2">
        <v>18</v>
      </c>
      <c r="J77" s="2" t="s">
        <v>67</v>
      </c>
      <c r="K77" s="25" t="s">
        <v>101</v>
      </c>
    </row>
    <row r="78" spans="2:11" x14ac:dyDescent="0.35">
      <c r="B78" s="27" t="s">
        <v>30</v>
      </c>
      <c r="C78" s="2" t="s">
        <v>63</v>
      </c>
      <c r="D78" s="2" t="s">
        <v>80</v>
      </c>
      <c r="E78" s="2" t="s">
        <v>65</v>
      </c>
      <c r="F78" s="2"/>
      <c r="G78" s="2" t="s">
        <v>71</v>
      </c>
      <c r="H78" s="87">
        <v>74.32758960000001</v>
      </c>
      <c r="I78" s="2">
        <v>18</v>
      </c>
      <c r="J78" s="2" t="s">
        <v>67</v>
      </c>
      <c r="K78" s="25" t="s">
        <v>102</v>
      </c>
    </row>
    <row r="79" spans="2:11" x14ac:dyDescent="0.35">
      <c r="B79" s="27" t="s">
        <v>30</v>
      </c>
      <c r="C79" s="2" t="s">
        <v>63</v>
      </c>
      <c r="D79" s="2" t="s">
        <v>80</v>
      </c>
      <c r="E79" s="2" t="s">
        <v>69</v>
      </c>
      <c r="F79" s="2"/>
      <c r="G79" s="2" t="s">
        <v>71</v>
      </c>
      <c r="H79" s="87">
        <v>80.90837040000001</v>
      </c>
      <c r="I79" s="2">
        <v>18</v>
      </c>
      <c r="J79" s="2" t="s">
        <v>67</v>
      </c>
      <c r="K79" s="25" t="s">
        <v>103</v>
      </c>
    </row>
    <row r="80" spans="2:11" x14ac:dyDescent="0.35">
      <c r="B80" s="75" t="s">
        <v>30</v>
      </c>
      <c r="C80" s="76" t="s">
        <v>63</v>
      </c>
      <c r="D80" s="76" t="s">
        <v>80</v>
      </c>
      <c r="E80" s="76" t="s">
        <v>65</v>
      </c>
      <c r="F80" s="76"/>
      <c r="G80" s="76" t="s">
        <v>74</v>
      </c>
      <c r="H80" s="88">
        <v>40.061059500000006</v>
      </c>
      <c r="I80" s="76">
        <v>18</v>
      </c>
      <c r="J80" s="76" t="s">
        <v>67</v>
      </c>
      <c r="K80" s="78" t="s">
        <v>102</v>
      </c>
    </row>
    <row r="81" spans="2:11" x14ac:dyDescent="0.35">
      <c r="B81" s="75" t="s">
        <v>30</v>
      </c>
      <c r="C81" s="76" t="s">
        <v>63</v>
      </c>
      <c r="D81" s="76" t="s">
        <v>80</v>
      </c>
      <c r="E81" s="76" t="s">
        <v>69</v>
      </c>
      <c r="F81" s="76"/>
      <c r="G81" s="76" t="s">
        <v>74</v>
      </c>
      <c r="H81" s="88">
        <v>41.141540000000006</v>
      </c>
      <c r="I81" s="76">
        <v>18</v>
      </c>
      <c r="J81" s="76" t="s">
        <v>67</v>
      </c>
      <c r="K81" s="78" t="s">
        <v>103</v>
      </c>
    </row>
    <row r="82" spans="2:11" x14ac:dyDescent="0.35">
      <c r="B82" s="27" t="s">
        <v>30</v>
      </c>
      <c r="C82" s="2" t="s">
        <v>63</v>
      </c>
      <c r="D82" s="2" t="s">
        <v>85</v>
      </c>
      <c r="E82" s="2" t="s">
        <v>65</v>
      </c>
      <c r="F82" s="2"/>
      <c r="G82" s="2" t="s">
        <v>66</v>
      </c>
      <c r="H82" s="87">
        <v>88.393566800000002</v>
      </c>
      <c r="I82" s="2">
        <v>36</v>
      </c>
      <c r="J82" s="2" t="s">
        <v>67</v>
      </c>
      <c r="K82" s="25" t="s">
        <v>96</v>
      </c>
    </row>
    <row r="83" spans="2:11" x14ac:dyDescent="0.35">
      <c r="B83" s="27" t="s">
        <v>30</v>
      </c>
      <c r="C83" s="2" t="s">
        <v>63</v>
      </c>
      <c r="D83" s="2" t="s">
        <v>85</v>
      </c>
      <c r="E83" s="2" t="s">
        <v>69</v>
      </c>
      <c r="F83" s="2"/>
      <c r="G83" s="2" t="s">
        <v>66</v>
      </c>
      <c r="H83" s="87">
        <v>99.3446608</v>
      </c>
      <c r="I83" s="2">
        <v>36</v>
      </c>
      <c r="J83" s="2" t="s">
        <v>67</v>
      </c>
      <c r="K83" s="25" t="s">
        <v>97</v>
      </c>
    </row>
    <row r="84" spans="2:11" x14ac:dyDescent="0.35">
      <c r="B84" s="27" t="s">
        <v>30</v>
      </c>
      <c r="C84" s="2" t="s">
        <v>63</v>
      </c>
      <c r="D84" s="2" t="s">
        <v>85</v>
      </c>
      <c r="E84" s="2" t="s">
        <v>65</v>
      </c>
      <c r="F84" s="2"/>
      <c r="G84" s="2" t="s">
        <v>71</v>
      </c>
      <c r="H84" s="87">
        <v>66.270507600000002</v>
      </c>
      <c r="I84" s="2">
        <v>36</v>
      </c>
      <c r="J84" s="2" t="s">
        <v>67</v>
      </c>
      <c r="K84" s="25" t="s">
        <v>98</v>
      </c>
    </row>
    <row r="85" spans="2:11" x14ac:dyDescent="0.35">
      <c r="B85" s="27" t="s">
        <v>30</v>
      </c>
      <c r="C85" s="2" t="s">
        <v>63</v>
      </c>
      <c r="D85" s="2" t="s">
        <v>85</v>
      </c>
      <c r="E85" s="2" t="s">
        <v>69</v>
      </c>
      <c r="F85" s="2"/>
      <c r="G85" s="2" t="s">
        <v>71</v>
      </c>
      <c r="H85" s="87">
        <v>71.535895200000013</v>
      </c>
      <c r="I85" s="2">
        <v>36</v>
      </c>
      <c r="J85" s="2" t="s">
        <v>67</v>
      </c>
      <c r="K85" s="25" t="s">
        <v>99</v>
      </c>
    </row>
    <row r="86" spans="2:11" x14ac:dyDescent="0.35">
      <c r="B86" s="75" t="s">
        <v>30</v>
      </c>
      <c r="C86" s="76" t="s">
        <v>63</v>
      </c>
      <c r="D86" s="76" t="s">
        <v>85</v>
      </c>
      <c r="E86" s="76" t="s">
        <v>65</v>
      </c>
      <c r="F86" s="76"/>
      <c r="G86" s="76" t="s">
        <v>74</v>
      </c>
      <c r="H86" s="88">
        <v>35.9505014</v>
      </c>
      <c r="I86" s="76">
        <v>36</v>
      </c>
      <c r="J86" s="76" t="s">
        <v>67</v>
      </c>
      <c r="K86" s="78" t="s">
        <v>98</v>
      </c>
    </row>
    <row r="87" spans="2:11" x14ac:dyDescent="0.35">
      <c r="B87" s="75" t="s">
        <v>30</v>
      </c>
      <c r="C87" s="76" t="s">
        <v>63</v>
      </c>
      <c r="D87" s="76" t="s">
        <v>85</v>
      </c>
      <c r="E87" s="76" t="s">
        <v>69</v>
      </c>
      <c r="F87" s="76"/>
      <c r="G87" s="76" t="s">
        <v>74</v>
      </c>
      <c r="H87" s="88">
        <v>36.788426399999999</v>
      </c>
      <c r="I87" s="76">
        <v>36</v>
      </c>
      <c r="J87" s="76" t="s">
        <v>67</v>
      </c>
      <c r="K87" s="78" t="s">
        <v>99</v>
      </c>
    </row>
    <row r="88" spans="2:11" x14ac:dyDescent="0.35">
      <c r="B88" s="27" t="s">
        <v>30</v>
      </c>
      <c r="C88" s="2" t="s">
        <v>63</v>
      </c>
      <c r="D88" s="2" t="s">
        <v>86</v>
      </c>
      <c r="E88" s="2" t="s">
        <v>65</v>
      </c>
      <c r="F88" s="2"/>
      <c r="G88" s="2" t="s">
        <v>66</v>
      </c>
      <c r="H88" s="87">
        <v>294.11420280000004</v>
      </c>
      <c r="I88" s="2">
        <v>12</v>
      </c>
      <c r="J88" s="2" t="s">
        <v>67</v>
      </c>
      <c r="K88" s="25" t="s">
        <v>96</v>
      </c>
    </row>
    <row r="89" spans="2:11" x14ac:dyDescent="0.35">
      <c r="B89" s="27" t="s">
        <v>30</v>
      </c>
      <c r="C89" s="2" t="s">
        <v>63</v>
      </c>
      <c r="D89" s="2" t="s">
        <v>86</v>
      </c>
      <c r="E89" s="2" t="s">
        <v>69</v>
      </c>
      <c r="F89" s="2"/>
      <c r="G89" s="2" t="s">
        <v>66</v>
      </c>
      <c r="H89" s="87">
        <v>332.40646560000005</v>
      </c>
      <c r="I89" s="2">
        <v>12</v>
      </c>
      <c r="J89" s="2" t="s">
        <v>67</v>
      </c>
      <c r="K89" s="25" t="s">
        <v>97</v>
      </c>
    </row>
    <row r="90" spans="2:11" x14ac:dyDescent="0.35">
      <c r="B90" s="27" t="s">
        <v>30</v>
      </c>
      <c r="C90" s="2" t="s">
        <v>63</v>
      </c>
      <c r="D90" s="2" t="s">
        <v>86</v>
      </c>
      <c r="E90" s="2" t="s">
        <v>65</v>
      </c>
      <c r="F90" s="2"/>
      <c r="G90" s="2" t="s">
        <v>71</v>
      </c>
      <c r="H90" s="87">
        <v>140.99280755999891</v>
      </c>
      <c r="I90" s="2">
        <v>12</v>
      </c>
      <c r="J90" s="2" t="s">
        <v>67</v>
      </c>
      <c r="K90" s="25" t="s">
        <v>98</v>
      </c>
    </row>
    <row r="91" spans="2:11" x14ac:dyDescent="0.35">
      <c r="B91" s="27" t="s">
        <v>30</v>
      </c>
      <c r="C91" s="2" t="s">
        <v>63</v>
      </c>
      <c r="D91" s="2" t="s">
        <v>86</v>
      </c>
      <c r="E91" s="2" t="s">
        <v>69</v>
      </c>
      <c r="F91" s="2"/>
      <c r="G91" s="2" t="s">
        <v>71</v>
      </c>
      <c r="H91" s="87">
        <v>148.35953638000001</v>
      </c>
      <c r="I91" s="2">
        <v>12</v>
      </c>
      <c r="J91" s="2" t="s">
        <v>67</v>
      </c>
      <c r="K91" s="25" t="s">
        <v>99</v>
      </c>
    </row>
    <row r="92" spans="2:11" x14ac:dyDescent="0.35">
      <c r="B92" s="75" t="s">
        <v>30</v>
      </c>
      <c r="C92" s="76" t="s">
        <v>63</v>
      </c>
      <c r="D92" s="76" t="s">
        <v>86</v>
      </c>
      <c r="E92" s="76" t="s">
        <v>65</v>
      </c>
      <c r="F92" s="76"/>
      <c r="G92" s="76" t="s">
        <v>74</v>
      </c>
      <c r="H92" s="88">
        <v>93.808948200000003</v>
      </c>
      <c r="I92" s="76">
        <v>12</v>
      </c>
      <c r="J92" s="76" t="s">
        <v>67</v>
      </c>
      <c r="K92" s="78" t="s">
        <v>98</v>
      </c>
    </row>
    <row r="93" spans="2:11" x14ac:dyDescent="0.35">
      <c r="B93" s="75" t="s">
        <v>30</v>
      </c>
      <c r="C93" s="76" t="s">
        <v>63</v>
      </c>
      <c r="D93" s="76" t="s">
        <v>86</v>
      </c>
      <c r="E93" s="76" t="s">
        <v>69</v>
      </c>
      <c r="F93" s="76"/>
      <c r="G93" s="76" t="s">
        <v>74</v>
      </c>
      <c r="H93" s="88">
        <v>94.894745</v>
      </c>
      <c r="I93" s="76">
        <v>12</v>
      </c>
      <c r="J93" s="76" t="s">
        <v>67</v>
      </c>
      <c r="K93" s="78" t="s">
        <v>99</v>
      </c>
    </row>
    <row r="94" spans="2:11" x14ac:dyDescent="0.35">
      <c r="B94" s="27" t="s">
        <v>30</v>
      </c>
      <c r="C94" s="2" t="s">
        <v>63</v>
      </c>
      <c r="D94" s="2" t="s">
        <v>87</v>
      </c>
      <c r="E94" s="2" t="s">
        <v>65</v>
      </c>
      <c r="F94" s="2"/>
      <c r="G94" s="2" t="s">
        <v>66</v>
      </c>
      <c r="H94" s="87">
        <v>152.81768149999999</v>
      </c>
      <c r="I94" s="2">
        <v>12</v>
      </c>
      <c r="J94" s="2" t="s">
        <v>67</v>
      </c>
      <c r="K94" s="25" t="s">
        <v>100</v>
      </c>
    </row>
    <row r="95" spans="2:11" x14ac:dyDescent="0.35">
      <c r="B95" s="27" t="s">
        <v>30</v>
      </c>
      <c r="C95" s="2" t="s">
        <v>63</v>
      </c>
      <c r="D95" s="2" t="s">
        <v>87</v>
      </c>
      <c r="E95" s="2" t="s">
        <v>69</v>
      </c>
      <c r="F95" s="2"/>
      <c r="G95" s="2" t="s">
        <v>66</v>
      </c>
      <c r="H95" s="87">
        <v>140.41212240000002</v>
      </c>
      <c r="I95" s="2">
        <v>12</v>
      </c>
      <c r="J95" s="2" t="s">
        <v>67</v>
      </c>
      <c r="K95" s="25" t="s">
        <v>101</v>
      </c>
    </row>
    <row r="96" spans="2:11" x14ac:dyDescent="0.35">
      <c r="B96" s="27" t="s">
        <v>30</v>
      </c>
      <c r="C96" s="2" t="s">
        <v>63</v>
      </c>
      <c r="D96" s="2" t="s">
        <v>87</v>
      </c>
      <c r="E96" s="2" t="s">
        <v>65</v>
      </c>
      <c r="F96" s="2"/>
      <c r="G96" s="2" t="s">
        <v>71</v>
      </c>
      <c r="H96" s="87">
        <v>58.216958800000008</v>
      </c>
      <c r="I96" s="2">
        <v>12</v>
      </c>
      <c r="J96" s="2" t="s">
        <v>67</v>
      </c>
      <c r="K96" s="25" t="s">
        <v>102</v>
      </c>
    </row>
    <row r="97" spans="2:11" x14ac:dyDescent="0.35">
      <c r="B97" s="27" t="s">
        <v>30</v>
      </c>
      <c r="C97" s="2" t="s">
        <v>63</v>
      </c>
      <c r="D97" s="2" t="s">
        <v>87</v>
      </c>
      <c r="E97" s="2" t="s">
        <v>69</v>
      </c>
      <c r="F97" s="2"/>
      <c r="G97" s="2" t="s">
        <v>71</v>
      </c>
      <c r="H97" s="87">
        <v>63.686990400000006</v>
      </c>
      <c r="I97" s="2">
        <v>12</v>
      </c>
      <c r="J97" s="2" t="s">
        <v>67</v>
      </c>
      <c r="K97" s="25" t="s">
        <v>103</v>
      </c>
    </row>
    <row r="98" spans="2:11" x14ac:dyDescent="0.35">
      <c r="B98" s="75" t="s">
        <v>30</v>
      </c>
      <c r="C98" s="76" t="s">
        <v>63</v>
      </c>
      <c r="D98" s="76" t="s">
        <v>87</v>
      </c>
      <c r="E98" s="76" t="s">
        <v>65</v>
      </c>
      <c r="F98" s="76"/>
      <c r="G98" s="76" t="s">
        <v>74</v>
      </c>
      <c r="H98" s="88">
        <v>35.023344620000003</v>
      </c>
      <c r="I98" s="76">
        <v>12</v>
      </c>
      <c r="J98" s="76" t="s">
        <v>67</v>
      </c>
      <c r="K98" s="78" t="s">
        <v>102</v>
      </c>
    </row>
    <row r="99" spans="2:11" x14ac:dyDescent="0.35">
      <c r="B99" s="75" t="s">
        <v>30</v>
      </c>
      <c r="C99" s="76" t="s">
        <v>63</v>
      </c>
      <c r="D99" s="76" t="s">
        <v>87</v>
      </c>
      <c r="E99" s="76" t="s">
        <v>69</v>
      </c>
      <c r="F99" s="76"/>
      <c r="G99" s="76" t="s">
        <v>74</v>
      </c>
      <c r="H99" s="88">
        <v>35.146847780000002</v>
      </c>
      <c r="I99" s="76">
        <v>12</v>
      </c>
      <c r="J99" s="76" t="s">
        <v>67</v>
      </c>
      <c r="K99" s="78" t="s">
        <v>103</v>
      </c>
    </row>
    <row r="100" spans="2:11" x14ac:dyDescent="0.35">
      <c r="B100" s="27" t="s">
        <v>30</v>
      </c>
      <c r="C100" s="2" t="s">
        <v>63</v>
      </c>
      <c r="D100" s="2" t="s">
        <v>88</v>
      </c>
      <c r="E100" s="2" t="s">
        <v>65</v>
      </c>
      <c r="F100" s="2"/>
      <c r="G100" s="2" t="s">
        <v>66</v>
      </c>
      <c r="H100" s="87">
        <v>66.140382000000002</v>
      </c>
      <c r="I100" s="2">
        <v>24</v>
      </c>
      <c r="J100" s="2" t="s">
        <v>67</v>
      </c>
      <c r="K100" s="25" t="s">
        <v>96</v>
      </c>
    </row>
    <row r="101" spans="2:11" x14ac:dyDescent="0.35">
      <c r="B101" s="27" t="s">
        <v>30</v>
      </c>
      <c r="C101" s="2" t="s">
        <v>63</v>
      </c>
      <c r="D101" s="2" t="s">
        <v>88</v>
      </c>
      <c r="E101" s="2" t="s">
        <v>69</v>
      </c>
      <c r="F101" s="2"/>
      <c r="G101" s="2" t="s">
        <v>66</v>
      </c>
      <c r="H101" s="87">
        <v>74.977865600000015</v>
      </c>
      <c r="I101" s="2">
        <v>24</v>
      </c>
      <c r="J101" s="2" t="s">
        <v>67</v>
      </c>
      <c r="K101" s="25" t="s">
        <v>97</v>
      </c>
    </row>
    <row r="102" spans="2:11" x14ac:dyDescent="0.35">
      <c r="B102" s="27" t="s">
        <v>30</v>
      </c>
      <c r="C102" s="2" t="s">
        <v>63</v>
      </c>
      <c r="D102" s="2" t="s">
        <v>88</v>
      </c>
      <c r="E102" s="2" t="s">
        <v>65</v>
      </c>
      <c r="F102" s="2"/>
      <c r="G102" s="2" t="s">
        <v>71</v>
      </c>
      <c r="H102" s="87">
        <v>59.201177200000004</v>
      </c>
      <c r="I102" s="2">
        <v>24</v>
      </c>
      <c r="J102" s="2" t="s">
        <v>67</v>
      </c>
      <c r="K102" s="25" t="s">
        <v>98</v>
      </c>
    </row>
    <row r="103" spans="2:11" x14ac:dyDescent="0.35">
      <c r="B103" s="27" t="s">
        <v>30</v>
      </c>
      <c r="C103" s="2" t="s">
        <v>63</v>
      </c>
      <c r="D103" s="2" t="s">
        <v>88</v>
      </c>
      <c r="E103" s="2" t="s">
        <v>69</v>
      </c>
      <c r="F103" s="2"/>
      <c r="G103" s="2" t="s">
        <v>71</v>
      </c>
      <c r="H103" s="87">
        <v>63.500914400000006</v>
      </c>
      <c r="I103" s="2">
        <v>24</v>
      </c>
      <c r="J103" s="2" t="s">
        <v>67</v>
      </c>
      <c r="K103" s="25" t="s">
        <v>99</v>
      </c>
    </row>
    <row r="104" spans="2:11" x14ac:dyDescent="0.35">
      <c r="B104" s="75" t="s">
        <v>30</v>
      </c>
      <c r="C104" s="76" t="s">
        <v>63</v>
      </c>
      <c r="D104" s="76" t="s">
        <v>88</v>
      </c>
      <c r="E104" s="76" t="s">
        <v>65</v>
      </c>
      <c r="F104" s="76"/>
      <c r="G104" s="76" t="s">
        <v>74</v>
      </c>
      <c r="H104" s="88">
        <v>93.808948200000003</v>
      </c>
      <c r="I104" s="76">
        <v>24</v>
      </c>
      <c r="J104" s="76" t="s">
        <v>67</v>
      </c>
      <c r="K104" s="78" t="s">
        <v>98</v>
      </c>
    </row>
    <row r="105" spans="2:11" x14ac:dyDescent="0.35">
      <c r="B105" s="75" t="s">
        <v>30</v>
      </c>
      <c r="C105" s="76" t="s">
        <v>63</v>
      </c>
      <c r="D105" s="76" t="s">
        <v>88</v>
      </c>
      <c r="E105" s="76" t="s">
        <v>69</v>
      </c>
      <c r="F105" s="76"/>
      <c r="G105" s="76" t="s">
        <v>74</v>
      </c>
      <c r="H105" s="88">
        <v>46.486959200000001</v>
      </c>
      <c r="I105" s="76">
        <v>24</v>
      </c>
      <c r="J105" s="76" t="s">
        <v>67</v>
      </c>
      <c r="K105" s="78" t="s">
        <v>99</v>
      </c>
    </row>
    <row r="106" spans="2:11" x14ac:dyDescent="0.35">
      <c r="B106" s="27" t="s">
        <v>30</v>
      </c>
      <c r="C106" s="2" t="s">
        <v>63</v>
      </c>
      <c r="D106" s="2" t="s">
        <v>89</v>
      </c>
      <c r="E106" s="2" t="s">
        <v>65</v>
      </c>
      <c r="F106" s="2"/>
      <c r="G106" s="2" t="s">
        <v>66</v>
      </c>
      <c r="H106" s="87">
        <v>298.12783440000004</v>
      </c>
      <c r="I106" s="2">
        <v>20</v>
      </c>
      <c r="J106" s="2" t="s">
        <v>67</v>
      </c>
      <c r="K106" s="25" t="s">
        <v>96</v>
      </c>
    </row>
    <row r="107" spans="2:11" x14ac:dyDescent="0.35">
      <c r="B107" s="27" t="s">
        <v>30</v>
      </c>
      <c r="C107" s="2" t="s">
        <v>63</v>
      </c>
      <c r="D107" s="2" t="s">
        <v>89</v>
      </c>
      <c r="E107" s="2" t="s">
        <v>69</v>
      </c>
      <c r="F107" s="2"/>
      <c r="G107" s="2" t="s">
        <v>66</v>
      </c>
      <c r="H107" s="87">
        <v>337.17992879999997</v>
      </c>
      <c r="I107" s="2">
        <v>20</v>
      </c>
      <c r="J107" s="2" t="s">
        <v>67</v>
      </c>
      <c r="K107" s="25" t="s">
        <v>97</v>
      </c>
    </row>
    <row r="108" spans="2:11" x14ac:dyDescent="0.35">
      <c r="B108" s="27" t="s">
        <v>30</v>
      </c>
      <c r="C108" s="2" t="s">
        <v>63</v>
      </c>
      <c r="D108" s="2" t="s">
        <v>89</v>
      </c>
      <c r="E108" s="2" t="s">
        <v>65</v>
      </c>
      <c r="F108" s="2"/>
      <c r="G108" s="2" t="s">
        <v>71</v>
      </c>
      <c r="H108" s="87">
        <v>137.66231952000001</v>
      </c>
      <c r="I108" s="2">
        <v>20</v>
      </c>
      <c r="J108" s="2" t="s">
        <v>67</v>
      </c>
      <c r="K108" s="25" t="s">
        <v>98</v>
      </c>
    </row>
    <row r="109" spans="2:11" x14ac:dyDescent="0.35">
      <c r="B109" s="27" t="s">
        <v>30</v>
      </c>
      <c r="C109" s="2" t="s">
        <v>63</v>
      </c>
      <c r="D109" s="2" t="s">
        <v>89</v>
      </c>
      <c r="E109" s="2" t="s">
        <v>69</v>
      </c>
      <c r="F109" s="2"/>
      <c r="G109" s="2" t="s">
        <v>71</v>
      </c>
      <c r="H109" s="87">
        <v>144.98687114999998</v>
      </c>
      <c r="I109" s="2">
        <v>20</v>
      </c>
      <c r="J109" s="2" t="s">
        <v>67</v>
      </c>
      <c r="K109" s="25" t="s">
        <v>99</v>
      </c>
    </row>
    <row r="110" spans="2:11" x14ac:dyDescent="0.35">
      <c r="B110" s="75" t="s">
        <v>30</v>
      </c>
      <c r="C110" s="76" t="s">
        <v>63</v>
      </c>
      <c r="D110" s="76" t="s">
        <v>89</v>
      </c>
      <c r="E110" s="76" t="s">
        <v>65</v>
      </c>
      <c r="F110" s="76"/>
      <c r="G110" s="76" t="s">
        <v>74</v>
      </c>
      <c r="H110" s="88">
        <v>89.85767890000001</v>
      </c>
      <c r="I110" s="76">
        <v>20</v>
      </c>
      <c r="J110" s="76" t="s">
        <v>67</v>
      </c>
      <c r="K110" s="78" t="s">
        <v>98</v>
      </c>
    </row>
    <row r="111" spans="2:11" x14ac:dyDescent="0.35">
      <c r="B111" s="75" t="s">
        <v>30</v>
      </c>
      <c r="C111" s="76" t="s">
        <v>63</v>
      </c>
      <c r="D111" s="76" t="s">
        <v>89</v>
      </c>
      <c r="E111" s="76" t="s">
        <v>69</v>
      </c>
      <c r="F111" s="76"/>
      <c r="G111" s="76" t="s">
        <v>74</v>
      </c>
      <c r="H111" s="88">
        <v>90.930748700000009</v>
      </c>
      <c r="I111" s="76">
        <v>20</v>
      </c>
      <c r="J111" s="76" t="s">
        <v>67</v>
      </c>
      <c r="K111" s="78" t="s">
        <v>99</v>
      </c>
    </row>
    <row r="112" spans="2:11" x14ac:dyDescent="0.35">
      <c r="B112" s="27" t="s">
        <v>30</v>
      </c>
      <c r="C112" s="2" t="s">
        <v>63</v>
      </c>
      <c r="D112" s="2" t="s">
        <v>90</v>
      </c>
      <c r="E112" s="2" t="s">
        <v>65</v>
      </c>
      <c r="F112" s="2"/>
      <c r="G112" s="2" t="s">
        <v>66</v>
      </c>
      <c r="H112" s="87">
        <v>124.246408</v>
      </c>
      <c r="I112" s="2">
        <v>20</v>
      </c>
      <c r="J112" s="2" t="s">
        <v>67</v>
      </c>
      <c r="K112" s="25" t="s">
        <v>100</v>
      </c>
    </row>
    <row r="113" spans="1:11" x14ac:dyDescent="0.35">
      <c r="B113" s="27" t="s">
        <v>30</v>
      </c>
      <c r="C113" s="2" t="s">
        <v>63</v>
      </c>
      <c r="D113" s="2" t="s">
        <v>90</v>
      </c>
      <c r="E113" s="2" t="s">
        <v>69</v>
      </c>
      <c r="F113" s="2"/>
      <c r="G113" s="2" t="s">
        <v>66</v>
      </c>
      <c r="H113" s="87">
        <v>140.41212240000002</v>
      </c>
      <c r="I113" s="2">
        <v>20</v>
      </c>
      <c r="J113" s="2" t="s">
        <v>67</v>
      </c>
      <c r="K113" s="25" t="s">
        <v>101</v>
      </c>
    </row>
    <row r="114" spans="1:11" x14ac:dyDescent="0.35">
      <c r="B114" s="27" t="s">
        <v>30</v>
      </c>
      <c r="C114" s="2" t="s">
        <v>63</v>
      </c>
      <c r="D114" s="2" t="s">
        <v>90</v>
      </c>
      <c r="E114" s="2" t="s">
        <v>65</v>
      </c>
      <c r="F114" s="2"/>
      <c r="G114" s="2" t="s">
        <v>71</v>
      </c>
      <c r="H114" s="87">
        <v>85.868164800000002</v>
      </c>
      <c r="I114" s="2">
        <v>20</v>
      </c>
      <c r="J114" s="2" t="s">
        <v>67</v>
      </c>
      <c r="K114" s="25" t="s">
        <v>102</v>
      </c>
    </row>
    <row r="115" spans="1:11" x14ac:dyDescent="0.35">
      <c r="B115" s="27" t="s">
        <v>30</v>
      </c>
      <c r="C115" s="2" t="s">
        <v>63</v>
      </c>
      <c r="D115" s="2" t="s">
        <v>90</v>
      </c>
      <c r="E115" s="2" t="s">
        <v>69</v>
      </c>
      <c r="F115" s="2"/>
      <c r="G115" s="2" t="s">
        <v>71</v>
      </c>
      <c r="H115" s="87">
        <v>96.498212800000019</v>
      </c>
      <c r="I115" s="2">
        <v>20</v>
      </c>
      <c r="J115" s="2" t="s">
        <v>67</v>
      </c>
      <c r="K115" s="25" t="s">
        <v>103</v>
      </c>
    </row>
    <row r="116" spans="1:11" x14ac:dyDescent="0.35">
      <c r="B116" s="75" t="s">
        <v>30</v>
      </c>
      <c r="C116" s="76" t="s">
        <v>63</v>
      </c>
      <c r="D116" s="76" t="s">
        <v>90</v>
      </c>
      <c r="E116" s="76" t="s">
        <v>65</v>
      </c>
      <c r="F116" s="76"/>
      <c r="G116" s="76" t="s">
        <v>74</v>
      </c>
      <c r="H116" s="88">
        <v>35.071830200000001</v>
      </c>
      <c r="I116" s="76">
        <v>20</v>
      </c>
      <c r="J116" s="76" t="s">
        <v>67</v>
      </c>
      <c r="K116" s="78" t="s">
        <v>102</v>
      </c>
    </row>
    <row r="117" spans="1:11" x14ac:dyDescent="0.35">
      <c r="B117" s="75" t="s">
        <v>30</v>
      </c>
      <c r="C117" s="76" t="s">
        <v>63</v>
      </c>
      <c r="D117" s="76" t="s">
        <v>90</v>
      </c>
      <c r="E117" s="76" t="s">
        <v>69</v>
      </c>
      <c r="F117" s="76"/>
      <c r="G117" s="76" t="s">
        <v>74</v>
      </c>
      <c r="H117" s="88">
        <v>35.810145800000008</v>
      </c>
      <c r="I117" s="76">
        <v>20</v>
      </c>
      <c r="J117" s="76" t="s">
        <v>67</v>
      </c>
      <c r="K117" s="78" t="s">
        <v>103</v>
      </c>
    </row>
    <row r="118" spans="1:11" x14ac:dyDescent="0.35">
      <c r="B118" s="27" t="s">
        <v>30</v>
      </c>
      <c r="C118" s="2" t="s">
        <v>63</v>
      </c>
      <c r="D118" s="2" t="s">
        <v>91</v>
      </c>
      <c r="E118" s="2" t="s">
        <v>65</v>
      </c>
      <c r="F118" s="2"/>
      <c r="G118" s="2" t="s">
        <v>66</v>
      </c>
      <c r="H118" s="87">
        <v>64.662708000000009</v>
      </c>
      <c r="I118" s="2">
        <v>40</v>
      </c>
      <c r="J118" s="2" t="s">
        <v>67</v>
      </c>
      <c r="K118" s="25" t="s">
        <v>96</v>
      </c>
    </row>
    <row r="119" spans="1:11" x14ac:dyDescent="0.35">
      <c r="B119" s="27" t="s">
        <v>30</v>
      </c>
      <c r="C119" s="2" t="s">
        <v>63</v>
      </c>
      <c r="D119" s="2" t="s">
        <v>91</v>
      </c>
      <c r="E119" s="2" t="s">
        <v>69</v>
      </c>
      <c r="F119" s="2"/>
      <c r="G119" s="2" t="s">
        <v>66</v>
      </c>
      <c r="H119" s="87">
        <v>73.242395600000009</v>
      </c>
      <c r="I119" s="2">
        <v>40</v>
      </c>
      <c r="J119" s="2" t="s">
        <v>67</v>
      </c>
      <c r="K119" s="25" t="s">
        <v>97</v>
      </c>
    </row>
    <row r="120" spans="1:11" x14ac:dyDescent="0.35">
      <c r="B120" s="27" t="s">
        <v>30</v>
      </c>
      <c r="C120" s="2" t="s">
        <v>63</v>
      </c>
      <c r="D120" s="2" t="s">
        <v>91</v>
      </c>
      <c r="E120" s="2" t="s">
        <v>65</v>
      </c>
      <c r="F120" s="2"/>
      <c r="G120" s="2" t="s">
        <v>71</v>
      </c>
      <c r="H120" s="87">
        <v>67.646158800000009</v>
      </c>
      <c r="I120" s="2">
        <v>40</v>
      </c>
      <c r="J120" s="2" t="s">
        <v>67</v>
      </c>
      <c r="K120" s="25" t="s">
        <v>98</v>
      </c>
    </row>
    <row r="121" spans="1:11" x14ac:dyDescent="0.35">
      <c r="B121" s="27" t="s">
        <v>30</v>
      </c>
      <c r="C121" s="2" t="s">
        <v>63</v>
      </c>
      <c r="D121" s="2" t="s">
        <v>91</v>
      </c>
      <c r="E121" s="2" t="s">
        <v>69</v>
      </c>
      <c r="F121" s="2"/>
      <c r="G121" s="2" t="s">
        <v>71</v>
      </c>
      <c r="H121" s="87">
        <v>72.857505599999996</v>
      </c>
      <c r="I121" s="2">
        <v>40</v>
      </c>
      <c r="J121" s="2" t="s">
        <v>67</v>
      </c>
      <c r="K121" s="25" t="s">
        <v>99</v>
      </c>
    </row>
    <row r="122" spans="1:11" x14ac:dyDescent="0.35">
      <c r="B122" s="75" t="s">
        <v>30</v>
      </c>
      <c r="C122" s="76" t="s">
        <v>63</v>
      </c>
      <c r="D122" s="76" t="s">
        <v>91</v>
      </c>
      <c r="E122" s="76" t="s">
        <v>65</v>
      </c>
      <c r="F122" s="76"/>
      <c r="G122" s="76" t="s">
        <v>74</v>
      </c>
      <c r="H122" s="88">
        <v>37.120956400000004</v>
      </c>
      <c r="I122" s="76">
        <v>40</v>
      </c>
      <c r="J122" s="76" t="s">
        <v>67</v>
      </c>
      <c r="K122" s="78" t="s">
        <v>98</v>
      </c>
    </row>
    <row r="123" spans="1:11" x14ac:dyDescent="0.35">
      <c r="B123" s="75" t="s">
        <v>30</v>
      </c>
      <c r="C123" s="76" t="s">
        <v>63</v>
      </c>
      <c r="D123" s="76" t="s">
        <v>91</v>
      </c>
      <c r="E123" s="76" t="s">
        <v>69</v>
      </c>
      <c r="F123" s="76"/>
      <c r="G123" s="76" t="s">
        <v>74</v>
      </c>
      <c r="H123" s="88">
        <v>37.984476200000003</v>
      </c>
      <c r="I123" s="76">
        <v>40</v>
      </c>
      <c r="J123" s="76" t="s">
        <v>67</v>
      </c>
      <c r="K123" s="78" t="s">
        <v>99</v>
      </c>
    </row>
    <row r="124" spans="1:11" ht="15.5" x14ac:dyDescent="0.35">
      <c r="A124" s="67" t="s">
        <v>34</v>
      </c>
      <c r="B124" s="79"/>
      <c r="C124" s="34"/>
      <c r="D124" s="14"/>
      <c r="E124" s="26"/>
      <c r="F124" s="16"/>
      <c r="G124" s="16"/>
      <c r="H124" s="16"/>
      <c r="I124" s="17"/>
      <c r="J124" s="17"/>
      <c r="K124" s="18"/>
    </row>
    <row r="125" spans="1:11" x14ac:dyDescent="0.35">
      <c r="B125" s="27" t="s">
        <v>34</v>
      </c>
      <c r="C125" s="2" t="s">
        <v>63</v>
      </c>
      <c r="D125" s="2" t="s">
        <v>64</v>
      </c>
      <c r="E125" s="2" t="s">
        <v>65</v>
      </c>
      <c r="F125" s="2"/>
      <c r="G125" s="2" t="s">
        <v>66</v>
      </c>
      <c r="H125" s="109">
        <v>329</v>
      </c>
      <c r="I125" s="2">
        <v>1</v>
      </c>
      <c r="J125" s="2" t="s">
        <v>67</v>
      </c>
      <c r="K125" s="25" t="s">
        <v>191</v>
      </c>
    </row>
    <row r="126" spans="1:11" x14ac:dyDescent="0.35">
      <c r="B126" s="27" t="s">
        <v>34</v>
      </c>
      <c r="C126" s="2" t="s">
        <v>63</v>
      </c>
      <c r="D126" s="2" t="s">
        <v>64</v>
      </c>
      <c r="E126" s="2" t="s">
        <v>69</v>
      </c>
      <c r="F126" s="2"/>
      <c r="G126" s="2" t="s">
        <v>66</v>
      </c>
      <c r="H126" s="109">
        <v>351</v>
      </c>
      <c r="I126" s="2">
        <v>1</v>
      </c>
      <c r="J126" s="2" t="s">
        <v>67</v>
      </c>
      <c r="K126" s="25" t="s">
        <v>192</v>
      </c>
    </row>
    <row r="127" spans="1:11" x14ac:dyDescent="0.35">
      <c r="B127" s="27" t="s">
        <v>34</v>
      </c>
      <c r="C127" s="2" t="s">
        <v>63</v>
      </c>
      <c r="D127" s="2" t="s">
        <v>64</v>
      </c>
      <c r="E127" s="2" t="s">
        <v>65</v>
      </c>
      <c r="F127" s="2"/>
      <c r="G127" s="2" t="s">
        <v>71</v>
      </c>
      <c r="H127" s="109">
        <v>208</v>
      </c>
      <c r="I127" s="2">
        <v>1</v>
      </c>
      <c r="J127" s="2" t="s">
        <v>67</v>
      </c>
      <c r="K127" s="25" t="s">
        <v>72</v>
      </c>
    </row>
    <row r="128" spans="1:11" x14ac:dyDescent="0.35">
      <c r="B128" s="27" t="s">
        <v>34</v>
      </c>
      <c r="C128" s="2" t="s">
        <v>63</v>
      </c>
      <c r="D128" s="2" t="s">
        <v>64</v>
      </c>
      <c r="E128" s="2" t="s">
        <v>69</v>
      </c>
      <c r="F128" s="2"/>
      <c r="G128" s="2" t="s">
        <v>71</v>
      </c>
      <c r="H128" s="109">
        <v>218</v>
      </c>
      <c r="I128" s="2">
        <v>1</v>
      </c>
      <c r="J128" s="2" t="s">
        <v>67</v>
      </c>
      <c r="K128" s="25" t="s">
        <v>73</v>
      </c>
    </row>
    <row r="129" spans="1:11" s="105" customFormat="1" x14ac:dyDescent="0.35">
      <c r="A129" s="104"/>
      <c r="B129" s="92" t="s">
        <v>34</v>
      </c>
      <c r="C129" s="93" t="s">
        <v>63</v>
      </c>
      <c r="D129" s="93" t="s">
        <v>64</v>
      </c>
      <c r="E129" s="93" t="s">
        <v>65</v>
      </c>
      <c r="F129" s="93"/>
      <c r="G129" s="93" t="s">
        <v>74</v>
      </c>
      <c r="H129" s="110">
        <v>208</v>
      </c>
      <c r="I129" s="93">
        <v>1</v>
      </c>
      <c r="J129" s="93" t="s">
        <v>67</v>
      </c>
      <c r="K129" s="96" t="s">
        <v>193</v>
      </c>
    </row>
    <row r="130" spans="1:11" s="105" customFormat="1" x14ac:dyDescent="0.35">
      <c r="A130" s="104"/>
      <c r="B130" s="92" t="s">
        <v>34</v>
      </c>
      <c r="C130" s="93" t="s">
        <v>63</v>
      </c>
      <c r="D130" s="93" t="s">
        <v>64</v>
      </c>
      <c r="E130" s="93" t="s">
        <v>69</v>
      </c>
      <c r="F130" s="93"/>
      <c r="G130" s="93" t="s">
        <v>74</v>
      </c>
      <c r="H130" s="110">
        <v>218</v>
      </c>
      <c r="I130" s="93">
        <v>1</v>
      </c>
      <c r="J130" s="93" t="s">
        <v>67</v>
      </c>
      <c r="K130" s="96" t="s">
        <v>194</v>
      </c>
    </row>
    <row r="131" spans="1:11" x14ac:dyDescent="0.35">
      <c r="B131" s="27" t="s">
        <v>34</v>
      </c>
      <c r="C131" s="2" t="s">
        <v>63</v>
      </c>
      <c r="D131" s="2" t="s">
        <v>75</v>
      </c>
      <c r="E131" s="2" t="s">
        <v>65</v>
      </c>
      <c r="F131" s="2"/>
      <c r="G131" s="2" t="s">
        <v>66</v>
      </c>
      <c r="H131" s="68">
        <v>329.8</v>
      </c>
      <c r="I131" s="2">
        <v>30</v>
      </c>
      <c r="J131" s="2" t="s">
        <v>67</v>
      </c>
      <c r="K131" s="25" t="s">
        <v>196</v>
      </c>
    </row>
    <row r="132" spans="1:11" x14ac:dyDescent="0.35">
      <c r="B132" s="27" t="s">
        <v>34</v>
      </c>
      <c r="C132" s="2" t="s">
        <v>63</v>
      </c>
      <c r="D132" s="2" t="s">
        <v>75</v>
      </c>
      <c r="E132" s="2" t="s">
        <v>69</v>
      </c>
      <c r="F132" s="2"/>
      <c r="G132" s="2" t="s">
        <v>66</v>
      </c>
      <c r="H132" s="68">
        <v>370.7</v>
      </c>
      <c r="I132" s="2">
        <v>30</v>
      </c>
      <c r="J132" s="2" t="s">
        <v>67</v>
      </c>
      <c r="K132" s="25" t="s">
        <v>195</v>
      </c>
    </row>
    <row r="133" spans="1:11" x14ac:dyDescent="0.35">
      <c r="B133" s="27" t="s">
        <v>34</v>
      </c>
      <c r="C133" s="2" t="s">
        <v>63</v>
      </c>
      <c r="D133" s="2" t="s">
        <v>75</v>
      </c>
      <c r="E133" s="2" t="s">
        <v>65</v>
      </c>
      <c r="F133" s="2"/>
      <c r="G133" s="2" t="s">
        <v>71</v>
      </c>
      <c r="H133" s="68">
        <v>90.2</v>
      </c>
      <c r="I133" s="2">
        <v>30</v>
      </c>
      <c r="J133" s="2" t="s">
        <v>67</v>
      </c>
      <c r="K133" s="25" t="s">
        <v>78</v>
      </c>
    </row>
    <row r="134" spans="1:11" x14ac:dyDescent="0.35">
      <c r="B134" s="27" t="s">
        <v>34</v>
      </c>
      <c r="C134" s="2" t="s">
        <v>63</v>
      </c>
      <c r="D134" s="2" t="s">
        <v>75</v>
      </c>
      <c r="E134" s="2" t="s">
        <v>69</v>
      </c>
      <c r="F134" s="2"/>
      <c r="G134" s="2" t="s">
        <v>71</v>
      </c>
      <c r="H134" s="68">
        <v>93.8</v>
      </c>
      <c r="I134" s="2">
        <v>30</v>
      </c>
      <c r="J134" s="2" t="s">
        <v>67</v>
      </c>
      <c r="K134" s="25" t="s">
        <v>79</v>
      </c>
    </row>
    <row r="135" spans="1:11" s="105" customFormat="1" x14ac:dyDescent="0.35">
      <c r="A135" s="104"/>
      <c r="B135" s="92" t="s">
        <v>34</v>
      </c>
      <c r="C135" s="93" t="s">
        <v>63</v>
      </c>
      <c r="D135" s="93" t="s">
        <v>75</v>
      </c>
      <c r="E135" s="93" t="s">
        <v>65</v>
      </c>
      <c r="F135" s="93"/>
      <c r="G135" s="93" t="s">
        <v>74</v>
      </c>
      <c r="H135" s="94">
        <v>77.3</v>
      </c>
      <c r="I135" s="93">
        <v>30</v>
      </c>
      <c r="J135" s="93" t="s">
        <v>67</v>
      </c>
      <c r="K135" s="96" t="s">
        <v>197</v>
      </c>
    </row>
    <row r="136" spans="1:11" s="105" customFormat="1" x14ac:dyDescent="0.35">
      <c r="A136" s="104"/>
      <c r="B136" s="92" t="s">
        <v>34</v>
      </c>
      <c r="C136" s="93" t="s">
        <v>63</v>
      </c>
      <c r="D136" s="93" t="s">
        <v>75</v>
      </c>
      <c r="E136" s="93" t="s">
        <v>69</v>
      </c>
      <c r="F136" s="93"/>
      <c r="G136" s="93" t="s">
        <v>74</v>
      </c>
      <c r="H136" s="94">
        <v>77.7</v>
      </c>
      <c r="I136" s="93">
        <v>30</v>
      </c>
      <c r="J136" s="93" t="s">
        <v>67</v>
      </c>
      <c r="K136" s="96" t="s">
        <v>199</v>
      </c>
    </row>
    <row r="137" spans="1:11" x14ac:dyDescent="0.35">
      <c r="B137" s="27" t="s">
        <v>34</v>
      </c>
      <c r="C137" s="2" t="s">
        <v>63</v>
      </c>
      <c r="D137" s="2" t="s">
        <v>80</v>
      </c>
      <c r="E137" s="2" t="s">
        <v>65</v>
      </c>
      <c r="F137" s="2"/>
      <c r="G137" s="2" t="s">
        <v>66</v>
      </c>
      <c r="H137" s="68">
        <v>231.7</v>
      </c>
      <c r="I137" s="2">
        <v>30</v>
      </c>
      <c r="J137" s="2" t="s">
        <v>67</v>
      </c>
      <c r="K137" s="25" t="s">
        <v>200</v>
      </c>
    </row>
    <row r="138" spans="1:11" x14ac:dyDescent="0.35">
      <c r="B138" s="27" t="s">
        <v>34</v>
      </c>
      <c r="C138" s="2" t="s">
        <v>63</v>
      </c>
      <c r="D138" s="2" t="s">
        <v>80</v>
      </c>
      <c r="E138" s="2" t="s">
        <v>69</v>
      </c>
      <c r="F138" s="2"/>
      <c r="G138" s="2" t="s">
        <v>66</v>
      </c>
      <c r="H138" s="68">
        <v>259.5</v>
      </c>
      <c r="I138" s="2">
        <v>30</v>
      </c>
      <c r="J138" s="2" t="s">
        <v>67</v>
      </c>
      <c r="K138" s="25" t="s">
        <v>201</v>
      </c>
    </row>
    <row r="139" spans="1:11" x14ac:dyDescent="0.35">
      <c r="B139" s="27" t="s">
        <v>34</v>
      </c>
      <c r="C139" s="2" t="s">
        <v>63</v>
      </c>
      <c r="D139" s="2" t="s">
        <v>80</v>
      </c>
      <c r="E139" s="2" t="s">
        <v>65</v>
      </c>
      <c r="F139" s="2"/>
      <c r="G139" s="2" t="s">
        <v>71</v>
      </c>
      <c r="H139" s="68">
        <v>59.9</v>
      </c>
      <c r="I139" s="2">
        <v>30</v>
      </c>
      <c r="J139" s="2" t="s">
        <v>67</v>
      </c>
      <c r="K139" s="25" t="s">
        <v>83</v>
      </c>
    </row>
    <row r="140" spans="1:11" x14ac:dyDescent="0.35">
      <c r="B140" s="27" t="s">
        <v>34</v>
      </c>
      <c r="C140" s="2" t="s">
        <v>63</v>
      </c>
      <c r="D140" s="2" t="s">
        <v>80</v>
      </c>
      <c r="E140" s="2" t="s">
        <v>69</v>
      </c>
      <c r="F140" s="2"/>
      <c r="G140" s="2" t="s">
        <v>71</v>
      </c>
      <c r="H140" s="68">
        <v>62.6</v>
      </c>
      <c r="I140" s="2">
        <v>30</v>
      </c>
      <c r="J140" s="2" t="s">
        <v>67</v>
      </c>
      <c r="K140" s="25" t="s">
        <v>84</v>
      </c>
    </row>
    <row r="141" spans="1:11" s="105" customFormat="1" x14ac:dyDescent="0.35">
      <c r="A141" s="104"/>
      <c r="B141" s="92" t="s">
        <v>34</v>
      </c>
      <c r="C141" s="93" t="s">
        <v>63</v>
      </c>
      <c r="D141" s="93" t="s">
        <v>80</v>
      </c>
      <c r="E141" s="93" t="s">
        <v>65</v>
      </c>
      <c r="F141" s="93"/>
      <c r="G141" s="93" t="s">
        <v>74</v>
      </c>
      <c r="H141" s="94">
        <v>59.3</v>
      </c>
      <c r="I141" s="93">
        <v>30</v>
      </c>
      <c r="J141" s="93" t="s">
        <v>67</v>
      </c>
      <c r="K141" s="96" t="s">
        <v>202</v>
      </c>
    </row>
    <row r="142" spans="1:11" s="105" customFormat="1" x14ac:dyDescent="0.35">
      <c r="A142" s="104"/>
      <c r="B142" s="92" t="s">
        <v>34</v>
      </c>
      <c r="C142" s="93" t="s">
        <v>63</v>
      </c>
      <c r="D142" s="93" t="s">
        <v>80</v>
      </c>
      <c r="E142" s="93" t="s">
        <v>69</v>
      </c>
      <c r="F142" s="93"/>
      <c r="G142" s="93" t="s">
        <v>74</v>
      </c>
      <c r="H142" s="94">
        <v>59.6</v>
      </c>
      <c r="I142" s="93">
        <v>30</v>
      </c>
      <c r="J142" s="93" t="s">
        <v>67</v>
      </c>
      <c r="K142" s="96" t="s">
        <v>203</v>
      </c>
    </row>
    <row r="143" spans="1:11" x14ac:dyDescent="0.35">
      <c r="B143" s="27" t="s">
        <v>34</v>
      </c>
      <c r="C143" s="2" t="s">
        <v>63</v>
      </c>
      <c r="D143" s="2" t="s">
        <v>85</v>
      </c>
      <c r="E143" s="2" t="s">
        <v>65</v>
      </c>
      <c r="F143" s="2"/>
      <c r="G143" s="2" t="s">
        <v>66</v>
      </c>
      <c r="H143" s="68">
        <v>89.7</v>
      </c>
      <c r="I143" s="2">
        <v>60</v>
      </c>
      <c r="J143" s="2" t="s">
        <v>67</v>
      </c>
      <c r="K143" s="25" t="s">
        <v>196</v>
      </c>
    </row>
    <row r="144" spans="1:11" x14ac:dyDescent="0.35">
      <c r="B144" s="27" t="s">
        <v>34</v>
      </c>
      <c r="C144" s="2" t="s">
        <v>63</v>
      </c>
      <c r="D144" s="2" t="s">
        <v>85</v>
      </c>
      <c r="E144" s="2" t="s">
        <v>69</v>
      </c>
      <c r="F144" s="2"/>
      <c r="G144" s="2" t="s">
        <v>66</v>
      </c>
      <c r="H144" s="68">
        <v>100.8</v>
      </c>
      <c r="I144" s="2">
        <v>60</v>
      </c>
      <c r="J144" s="2" t="s">
        <v>67</v>
      </c>
      <c r="K144" s="25" t="s">
        <v>195</v>
      </c>
    </row>
    <row r="145" spans="1:11" x14ac:dyDescent="0.35">
      <c r="B145" s="27" t="s">
        <v>34</v>
      </c>
      <c r="C145" s="2" t="s">
        <v>63</v>
      </c>
      <c r="D145" s="2" t="s">
        <v>85</v>
      </c>
      <c r="E145" s="2" t="s">
        <v>65</v>
      </c>
      <c r="F145" s="2"/>
      <c r="G145" s="2" t="s">
        <v>71</v>
      </c>
      <c r="H145" s="68">
        <v>53.6</v>
      </c>
      <c r="I145" s="2">
        <v>60</v>
      </c>
      <c r="J145" s="2" t="s">
        <v>67</v>
      </c>
      <c r="K145" s="25" t="s">
        <v>78</v>
      </c>
    </row>
    <row r="146" spans="1:11" x14ac:dyDescent="0.35">
      <c r="B146" s="27" t="s">
        <v>34</v>
      </c>
      <c r="C146" s="2" t="s">
        <v>63</v>
      </c>
      <c r="D146" s="2" t="s">
        <v>85</v>
      </c>
      <c r="E146" s="2" t="s">
        <v>69</v>
      </c>
      <c r="F146" s="2"/>
      <c r="G146" s="2" t="s">
        <v>71</v>
      </c>
      <c r="H146" s="68">
        <v>56.9</v>
      </c>
      <c r="I146" s="2">
        <v>60</v>
      </c>
      <c r="J146" s="2" t="s">
        <v>67</v>
      </c>
      <c r="K146" s="25" t="s">
        <v>79</v>
      </c>
    </row>
    <row r="147" spans="1:11" s="105" customFormat="1" x14ac:dyDescent="0.35">
      <c r="A147" s="104"/>
      <c r="B147" s="92" t="s">
        <v>34</v>
      </c>
      <c r="C147" s="93" t="s">
        <v>63</v>
      </c>
      <c r="D147" s="93" t="s">
        <v>85</v>
      </c>
      <c r="E147" s="93" t="s">
        <v>65</v>
      </c>
      <c r="F147" s="93"/>
      <c r="G147" s="93" t="s">
        <v>74</v>
      </c>
      <c r="H147" s="94">
        <v>34.4</v>
      </c>
      <c r="I147" s="93">
        <v>60</v>
      </c>
      <c r="J147" s="93" t="s">
        <v>67</v>
      </c>
      <c r="K147" s="96" t="s">
        <v>197</v>
      </c>
    </row>
    <row r="148" spans="1:11" s="105" customFormat="1" x14ac:dyDescent="0.35">
      <c r="A148" s="104"/>
      <c r="B148" s="92" t="s">
        <v>34</v>
      </c>
      <c r="C148" s="93" t="s">
        <v>63</v>
      </c>
      <c r="D148" s="93" t="s">
        <v>85</v>
      </c>
      <c r="E148" s="93" t="s">
        <v>69</v>
      </c>
      <c r="F148" s="93"/>
      <c r="G148" s="93" t="s">
        <v>74</v>
      </c>
      <c r="H148" s="94">
        <v>35.1</v>
      </c>
      <c r="I148" s="93">
        <v>60</v>
      </c>
      <c r="J148" s="93" t="s">
        <v>67</v>
      </c>
      <c r="K148" s="96" t="s">
        <v>198</v>
      </c>
    </row>
    <row r="149" spans="1:11" x14ac:dyDescent="0.35">
      <c r="B149" s="27" t="s">
        <v>34</v>
      </c>
      <c r="C149" s="2" t="s">
        <v>63</v>
      </c>
      <c r="D149" s="2" t="s">
        <v>86</v>
      </c>
      <c r="E149" s="2" t="s">
        <v>65</v>
      </c>
      <c r="F149" s="2"/>
      <c r="G149" s="2" t="s">
        <v>66</v>
      </c>
      <c r="H149" s="68">
        <v>279.89999999999998</v>
      </c>
      <c r="I149" s="2">
        <v>20</v>
      </c>
      <c r="J149" s="2" t="s">
        <v>67</v>
      </c>
      <c r="K149" s="25" t="s">
        <v>196</v>
      </c>
    </row>
    <row r="150" spans="1:11" x14ac:dyDescent="0.35">
      <c r="B150" s="27" t="s">
        <v>34</v>
      </c>
      <c r="C150" s="2" t="s">
        <v>63</v>
      </c>
      <c r="D150" s="2" t="s">
        <v>86</v>
      </c>
      <c r="E150" s="2" t="s">
        <v>69</v>
      </c>
      <c r="F150" s="2"/>
      <c r="G150" s="2" t="s">
        <v>66</v>
      </c>
      <c r="H150" s="68">
        <v>314.10000000000002</v>
      </c>
      <c r="I150" s="2">
        <v>20</v>
      </c>
      <c r="J150" s="2" t="s">
        <v>67</v>
      </c>
      <c r="K150" s="25" t="s">
        <v>195</v>
      </c>
    </row>
    <row r="151" spans="1:11" x14ac:dyDescent="0.35">
      <c r="B151" s="27" t="s">
        <v>34</v>
      </c>
      <c r="C151" s="2" t="s">
        <v>63</v>
      </c>
      <c r="D151" s="2" t="s">
        <v>86</v>
      </c>
      <c r="E151" s="2" t="s">
        <v>65</v>
      </c>
      <c r="F151" s="2"/>
      <c r="G151" s="2" t="s">
        <v>71</v>
      </c>
      <c r="H151" s="68">
        <v>92.7</v>
      </c>
      <c r="I151" s="2">
        <v>20</v>
      </c>
      <c r="J151" s="2" t="s">
        <v>67</v>
      </c>
      <c r="K151" s="25" t="s">
        <v>78</v>
      </c>
    </row>
    <row r="152" spans="1:11" x14ac:dyDescent="0.35">
      <c r="B152" s="27" t="s">
        <v>34</v>
      </c>
      <c r="C152" s="2" t="s">
        <v>63</v>
      </c>
      <c r="D152" s="2" t="s">
        <v>86</v>
      </c>
      <c r="E152" s="2" t="s">
        <v>69</v>
      </c>
      <c r="F152" s="2"/>
      <c r="G152" s="2" t="s">
        <v>71</v>
      </c>
      <c r="H152" s="68">
        <v>96.5</v>
      </c>
      <c r="I152" s="2">
        <v>20</v>
      </c>
      <c r="J152" s="2" t="s">
        <v>67</v>
      </c>
      <c r="K152" s="25" t="s">
        <v>79</v>
      </c>
    </row>
    <row r="153" spans="1:11" s="105" customFormat="1" x14ac:dyDescent="0.35">
      <c r="A153" s="104"/>
      <c r="B153" s="92" t="s">
        <v>34</v>
      </c>
      <c r="C153" s="93" t="s">
        <v>63</v>
      </c>
      <c r="D153" s="93" t="s">
        <v>86</v>
      </c>
      <c r="E153" s="93" t="s">
        <v>65</v>
      </c>
      <c r="F153" s="93"/>
      <c r="G153" s="93" t="s">
        <v>74</v>
      </c>
      <c r="H153" s="94">
        <v>76.8</v>
      </c>
      <c r="I153" s="93">
        <v>20</v>
      </c>
      <c r="J153" s="93" t="s">
        <v>67</v>
      </c>
      <c r="K153" s="96" t="s">
        <v>197</v>
      </c>
    </row>
    <row r="154" spans="1:11" s="105" customFormat="1" x14ac:dyDescent="0.35">
      <c r="A154" s="104"/>
      <c r="B154" s="92" t="s">
        <v>34</v>
      </c>
      <c r="C154" s="93" t="s">
        <v>63</v>
      </c>
      <c r="D154" s="93" t="s">
        <v>86</v>
      </c>
      <c r="E154" s="93" t="s">
        <v>69</v>
      </c>
      <c r="F154" s="93"/>
      <c r="G154" s="93" t="s">
        <v>74</v>
      </c>
      <c r="H154" s="94">
        <v>77.3</v>
      </c>
      <c r="I154" s="93">
        <v>20</v>
      </c>
      <c r="J154" s="93" t="s">
        <v>67</v>
      </c>
      <c r="K154" s="96" t="s">
        <v>198</v>
      </c>
    </row>
    <row r="155" spans="1:11" x14ac:dyDescent="0.35">
      <c r="B155" s="27" t="s">
        <v>34</v>
      </c>
      <c r="C155" s="2" t="s">
        <v>63</v>
      </c>
      <c r="D155" s="2" t="s">
        <v>87</v>
      </c>
      <c r="E155" s="2" t="s">
        <v>65</v>
      </c>
      <c r="F155" s="2"/>
      <c r="G155" s="2" t="s">
        <v>66</v>
      </c>
      <c r="H155" s="68">
        <v>234</v>
      </c>
      <c r="I155" s="2">
        <v>20</v>
      </c>
      <c r="J155" s="2" t="s">
        <v>67</v>
      </c>
      <c r="K155" s="25" t="s">
        <v>200</v>
      </c>
    </row>
    <row r="156" spans="1:11" x14ac:dyDescent="0.35">
      <c r="B156" s="27" t="s">
        <v>34</v>
      </c>
      <c r="C156" s="2" t="s">
        <v>63</v>
      </c>
      <c r="D156" s="2" t="s">
        <v>87</v>
      </c>
      <c r="E156" s="2" t="s">
        <v>69</v>
      </c>
      <c r="F156" s="2"/>
      <c r="G156" s="2" t="s">
        <v>66</v>
      </c>
      <c r="H156" s="68">
        <v>262.39999999999998</v>
      </c>
      <c r="I156" s="2">
        <v>20</v>
      </c>
      <c r="J156" s="2" t="s">
        <v>67</v>
      </c>
      <c r="K156" s="25" t="s">
        <v>201</v>
      </c>
    </row>
    <row r="157" spans="1:11" x14ac:dyDescent="0.35">
      <c r="B157" s="27" t="s">
        <v>34</v>
      </c>
      <c r="C157" s="2" t="s">
        <v>63</v>
      </c>
      <c r="D157" s="2" t="s">
        <v>87</v>
      </c>
      <c r="E157" s="2" t="s">
        <v>65</v>
      </c>
      <c r="F157" s="2"/>
      <c r="G157" s="2" t="s">
        <v>71</v>
      </c>
      <c r="H157" s="68">
        <v>62</v>
      </c>
      <c r="I157" s="2">
        <v>20</v>
      </c>
      <c r="J157" s="2" t="s">
        <v>67</v>
      </c>
      <c r="K157" s="25" t="s">
        <v>83</v>
      </c>
    </row>
    <row r="158" spans="1:11" x14ac:dyDescent="0.35">
      <c r="B158" s="27" t="s">
        <v>34</v>
      </c>
      <c r="C158" s="2" t="s">
        <v>63</v>
      </c>
      <c r="D158" s="2" t="s">
        <v>87</v>
      </c>
      <c r="E158" s="2" t="s">
        <v>69</v>
      </c>
      <c r="F158" s="2"/>
      <c r="G158" s="2" t="s">
        <v>71</v>
      </c>
      <c r="H158" s="68">
        <v>66.599999999999994</v>
      </c>
      <c r="I158" s="2">
        <v>20</v>
      </c>
      <c r="J158" s="2" t="s">
        <v>67</v>
      </c>
      <c r="K158" s="25" t="s">
        <v>84</v>
      </c>
    </row>
    <row r="159" spans="1:11" s="105" customFormat="1" x14ac:dyDescent="0.35">
      <c r="A159" s="104"/>
      <c r="B159" s="92" t="s">
        <v>34</v>
      </c>
      <c r="C159" s="93" t="s">
        <v>63</v>
      </c>
      <c r="D159" s="93" t="s">
        <v>87</v>
      </c>
      <c r="E159" s="93" t="s">
        <v>65</v>
      </c>
      <c r="F159" s="93"/>
      <c r="G159" s="93" t="s">
        <v>74</v>
      </c>
      <c r="H159" s="94">
        <v>58.1</v>
      </c>
      <c r="I159" s="93">
        <v>20</v>
      </c>
      <c r="J159" s="93" t="s">
        <v>67</v>
      </c>
      <c r="K159" s="96" t="s">
        <v>202</v>
      </c>
    </row>
    <row r="160" spans="1:11" s="105" customFormat="1" x14ac:dyDescent="0.35">
      <c r="A160" s="104"/>
      <c r="B160" s="92" t="s">
        <v>34</v>
      </c>
      <c r="C160" s="93" t="s">
        <v>63</v>
      </c>
      <c r="D160" s="93" t="s">
        <v>87</v>
      </c>
      <c r="E160" s="93" t="s">
        <v>69</v>
      </c>
      <c r="F160" s="93"/>
      <c r="G160" s="93" t="s">
        <v>74</v>
      </c>
      <c r="H160" s="94">
        <v>58.3</v>
      </c>
      <c r="I160" s="93">
        <v>20</v>
      </c>
      <c r="J160" s="93" t="s">
        <v>67</v>
      </c>
      <c r="K160" s="96" t="s">
        <v>203</v>
      </c>
    </row>
    <row r="161" spans="1:11" x14ac:dyDescent="0.35">
      <c r="B161" s="27" t="s">
        <v>34</v>
      </c>
      <c r="C161" s="2" t="s">
        <v>63</v>
      </c>
      <c r="D161" s="2" t="s">
        <v>88</v>
      </c>
      <c r="E161" s="2" t="s">
        <v>65</v>
      </c>
      <c r="F161" s="2"/>
      <c r="G161" s="2" t="s">
        <v>66</v>
      </c>
      <c r="H161" s="68">
        <v>68.400000000000006</v>
      </c>
      <c r="I161" s="2">
        <v>40</v>
      </c>
      <c r="J161" s="2" t="s">
        <v>67</v>
      </c>
      <c r="K161" s="25" t="s">
        <v>196</v>
      </c>
    </row>
    <row r="162" spans="1:11" x14ac:dyDescent="0.35">
      <c r="B162" s="27" t="s">
        <v>34</v>
      </c>
      <c r="C162" s="2" t="s">
        <v>63</v>
      </c>
      <c r="D162" s="2" t="s">
        <v>88</v>
      </c>
      <c r="E162" s="2" t="s">
        <v>69</v>
      </c>
      <c r="F162" s="2"/>
      <c r="G162" s="2" t="s">
        <v>66</v>
      </c>
      <c r="H162" s="68">
        <v>76.5</v>
      </c>
      <c r="I162" s="2">
        <v>40</v>
      </c>
      <c r="J162" s="2" t="s">
        <v>67</v>
      </c>
      <c r="K162" s="25" t="s">
        <v>195</v>
      </c>
    </row>
    <row r="163" spans="1:11" x14ac:dyDescent="0.35">
      <c r="B163" s="27" t="s">
        <v>34</v>
      </c>
      <c r="C163" s="2" t="s">
        <v>63</v>
      </c>
      <c r="D163" s="2" t="s">
        <v>88</v>
      </c>
      <c r="E163" s="2" t="s">
        <v>65</v>
      </c>
      <c r="F163" s="2"/>
      <c r="G163" s="2" t="s">
        <v>71</v>
      </c>
      <c r="H163" s="68">
        <v>52.3</v>
      </c>
      <c r="I163" s="2">
        <v>40</v>
      </c>
      <c r="J163" s="2" t="s">
        <v>67</v>
      </c>
      <c r="K163" s="25" t="s">
        <v>78</v>
      </c>
    </row>
    <row r="164" spans="1:11" x14ac:dyDescent="0.35">
      <c r="B164" s="27" t="s">
        <v>34</v>
      </c>
      <c r="C164" s="2" t="s">
        <v>63</v>
      </c>
      <c r="D164" s="2" t="s">
        <v>88</v>
      </c>
      <c r="E164" s="2" t="s">
        <v>69</v>
      </c>
      <c r="F164" s="2"/>
      <c r="G164" s="2" t="s">
        <v>71</v>
      </c>
      <c r="H164" s="68">
        <v>55.6</v>
      </c>
      <c r="I164" s="2">
        <v>40</v>
      </c>
      <c r="J164" s="2" t="s">
        <v>67</v>
      </c>
      <c r="K164" s="25" t="s">
        <v>79</v>
      </c>
    </row>
    <row r="165" spans="1:11" s="105" customFormat="1" x14ac:dyDescent="0.35">
      <c r="A165" s="104"/>
      <c r="B165" s="92" t="s">
        <v>34</v>
      </c>
      <c r="C165" s="93" t="s">
        <v>63</v>
      </c>
      <c r="D165" s="93" t="s">
        <v>88</v>
      </c>
      <c r="E165" s="93" t="s">
        <v>65</v>
      </c>
      <c r="F165" s="93"/>
      <c r="G165" s="93" t="s">
        <v>74</v>
      </c>
      <c r="H165" s="94">
        <v>36.200000000000003</v>
      </c>
      <c r="I165" s="93">
        <v>40</v>
      </c>
      <c r="J165" s="93" t="s">
        <v>67</v>
      </c>
      <c r="K165" s="96" t="s">
        <v>197</v>
      </c>
    </row>
    <row r="166" spans="1:11" s="105" customFormat="1" x14ac:dyDescent="0.35">
      <c r="A166" s="104"/>
      <c r="B166" s="92" t="s">
        <v>34</v>
      </c>
      <c r="C166" s="93" t="s">
        <v>63</v>
      </c>
      <c r="D166" s="93" t="s">
        <v>88</v>
      </c>
      <c r="E166" s="93" t="s">
        <v>69</v>
      </c>
      <c r="F166" s="93"/>
      <c r="G166" s="93" t="s">
        <v>74</v>
      </c>
      <c r="H166" s="94">
        <v>37.4</v>
      </c>
      <c r="I166" s="93">
        <v>40</v>
      </c>
      <c r="J166" s="93" t="s">
        <v>67</v>
      </c>
      <c r="K166" s="96" t="s">
        <v>198</v>
      </c>
    </row>
    <row r="167" spans="1:11" x14ac:dyDescent="0.35">
      <c r="B167" s="27" t="s">
        <v>34</v>
      </c>
      <c r="C167" s="2" t="s">
        <v>63</v>
      </c>
      <c r="D167" s="2" t="s">
        <v>89</v>
      </c>
      <c r="E167" s="2" t="s">
        <v>65</v>
      </c>
      <c r="F167" s="2"/>
      <c r="G167" s="2" t="s">
        <v>66</v>
      </c>
      <c r="H167" s="68">
        <v>285.5</v>
      </c>
      <c r="I167" s="2">
        <v>20</v>
      </c>
      <c r="J167" s="2" t="s">
        <v>67</v>
      </c>
      <c r="K167" s="25" t="s">
        <v>196</v>
      </c>
    </row>
    <row r="168" spans="1:11" x14ac:dyDescent="0.35">
      <c r="B168" s="27" t="s">
        <v>34</v>
      </c>
      <c r="C168" s="2" t="s">
        <v>63</v>
      </c>
      <c r="D168" s="2" t="s">
        <v>89</v>
      </c>
      <c r="E168" s="2" t="s">
        <v>69</v>
      </c>
      <c r="F168" s="2"/>
      <c r="G168" s="2" t="s">
        <v>66</v>
      </c>
      <c r="H168" s="68">
        <v>320</v>
      </c>
      <c r="I168" s="2">
        <v>20</v>
      </c>
      <c r="J168" s="2" t="s">
        <v>67</v>
      </c>
      <c r="K168" s="25" t="s">
        <v>195</v>
      </c>
    </row>
    <row r="169" spans="1:11" x14ac:dyDescent="0.35">
      <c r="B169" s="27" t="s">
        <v>34</v>
      </c>
      <c r="C169" s="2" t="s">
        <v>63</v>
      </c>
      <c r="D169" s="2" t="s">
        <v>89</v>
      </c>
      <c r="E169" s="2" t="s">
        <v>65</v>
      </c>
      <c r="F169" s="2"/>
      <c r="G169" s="2" t="s">
        <v>71</v>
      </c>
      <c r="H169" s="68">
        <v>95.2</v>
      </c>
      <c r="I169" s="2">
        <v>20</v>
      </c>
      <c r="J169" s="2" t="s">
        <v>67</v>
      </c>
      <c r="K169" s="25" t="s">
        <v>78</v>
      </c>
    </row>
    <row r="170" spans="1:11" x14ac:dyDescent="0.35">
      <c r="B170" s="27" t="s">
        <v>34</v>
      </c>
      <c r="C170" s="2" t="s">
        <v>63</v>
      </c>
      <c r="D170" s="2" t="s">
        <v>89</v>
      </c>
      <c r="E170" s="2" t="s">
        <v>69</v>
      </c>
      <c r="F170" s="2"/>
      <c r="G170" s="2" t="s">
        <v>71</v>
      </c>
      <c r="H170" s="68">
        <v>99</v>
      </c>
      <c r="I170" s="2">
        <v>20</v>
      </c>
      <c r="J170" s="2" t="s">
        <v>67</v>
      </c>
      <c r="K170" s="25" t="s">
        <v>79</v>
      </c>
    </row>
    <row r="171" spans="1:11" s="105" customFormat="1" x14ac:dyDescent="0.35">
      <c r="A171" s="104"/>
      <c r="B171" s="92" t="s">
        <v>34</v>
      </c>
      <c r="C171" s="93" t="s">
        <v>63</v>
      </c>
      <c r="D171" s="93" t="s">
        <v>89</v>
      </c>
      <c r="E171" s="93" t="s">
        <v>65</v>
      </c>
      <c r="F171" s="93"/>
      <c r="G171" s="93" t="s">
        <v>74</v>
      </c>
      <c r="H171" s="94">
        <v>78</v>
      </c>
      <c r="I171" s="93">
        <v>20</v>
      </c>
      <c r="J171" s="93" t="s">
        <v>67</v>
      </c>
      <c r="K171" s="96" t="s">
        <v>197</v>
      </c>
    </row>
    <row r="172" spans="1:11" s="105" customFormat="1" x14ac:dyDescent="0.35">
      <c r="A172" s="104"/>
      <c r="B172" s="92" t="s">
        <v>34</v>
      </c>
      <c r="C172" s="93" t="s">
        <v>63</v>
      </c>
      <c r="D172" s="93" t="s">
        <v>89</v>
      </c>
      <c r="E172" s="93" t="s">
        <v>69</v>
      </c>
      <c r="F172" s="93"/>
      <c r="G172" s="93" t="s">
        <v>74</v>
      </c>
      <c r="H172" s="94">
        <v>78.400000000000006</v>
      </c>
      <c r="I172" s="93">
        <v>20</v>
      </c>
      <c r="J172" s="93" t="s">
        <v>67</v>
      </c>
      <c r="K172" s="96" t="s">
        <v>198</v>
      </c>
    </row>
    <row r="173" spans="1:11" x14ac:dyDescent="0.35">
      <c r="B173" s="27" t="s">
        <v>34</v>
      </c>
      <c r="C173" s="2" t="s">
        <v>63</v>
      </c>
      <c r="D173" s="2" t="s">
        <v>90</v>
      </c>
      <c r="E173" s="2" t="s">
        <v>65</v>
      </c>
      <c r="F173" s="2"/>
      <c r="G173" s="2" t="s">
        <v>66</v>
      </c>
      <c r="H173" s="68">
        <v>239.5</v>
      </c>
      <c r="I173" s="2">
        <v>20</v>
      </c>
      <c r="J173" s="2" t="s">
        <v>67</v>
      </c>
      <c r="K173" s="25" t="s">
        <v>200</v>
      </c>
    </row>
    <row r="174" spans="1:11" x14ac:dyDescent="0.35">
      <c r="B174" s="27" t="s">
        <v>34</v>
      </c>
      <c r="C174" s="2" t="s">
        <v>63</v>
      </c>
      <c r="D174" s="2" t="s">
        <v>90</v>
      </c>
      <c r="E174" s="2" t="s">
        <v>69</v>
      </c>
      <c r="F174" s="2"/>
      <c r="G174" s="2" t="s">
        <v>66</v>
      </c>
      <c r="H174" s="68">
        <v>268.5</v>
      </c>
      <c r="I174" s="2">
        <v>20</v>
      </c>
      <c r="J174" s="2" t="s">
        <v>67</v>
      </c>
      <c r="K174" s="25" t="s">
        <v>201</v>
      </c>
    </row>
    <row r="175" spans="1:11" x14ac:dyDescent="0.35">
      <c r="B175" s="27" t="s">
        <v>34</v>
      </c>
      <c r="C175" s="2" t="s">
        <v>63</v>
      </c>
      <c r="D175" s="2" t="s">
        <v>90</v>
      </c>
      <c r="E175" s="2" t="s">
        <v>65</v>
      </c>
      <c r="F175" s="2"/>
      <c r="G175" s="2" t="s">
        <v>71</v>
      </c>
      <c r="H175" s="68">
        <v>62.3</v>
      </c>
      <c r="I175" s="2">
        <v>20</v>
      </c>
      <c r="J175" s="2" t="s">
        <v>67</v>
      </c>
      <c r="K175" s="25" t="s">
        <v>83</v>
      </c>
    </row>
    <row r="176" spans="1:11" x14ac:dyDescent="0.35">
      <c r="B176" s="27" t="s">
        <v>34</v>
      </c>
      <c r="C176" s="2" t="s">
        <v>63</v>
      </c>
      <c r="D176" s="2" t="s">
        <v>90</v>
      </c>
      <c r="E176" s="2" t="s">
        <v>69</v>
      </c>
      <c r="F176" s="2"/>
      <c r="G176" s="2" t="s">
        <v>71</v>
      </c>
      <c r="H176" s="68">
        <v>65.8</v>
      </c>
      <c r="I176" s="2">
        <v>20</v>
      </c>
      <c r="J176" s="2" t="s">
        <v>67</v>
      </c>
      <c r="K176" s="25" t="s">
        <v>84</v>
      </c>
    </row>
    <row r="177" spans="1:11" s="105" customFormat="1" x14ac:dyDescent="0.35">
      <c r="A177" s="104"/>
      <c r="B177" s="92" t="s">
        <v>34</v>
      </c>
      <c r="C177" s="93" t="s">
        <v>63</v>
      </c>
      <c r="D177" s="93" t="s">
        <v>90</v>
      </c>
      <c r="E177" s="93" t="s">
        <v>65</v>
      </c>
      <c r="F177" s="93"/>
      <c r="G177" s="93" t="s">
        <v>74</v>
      </c>
      <c r="H177" s="94">
        <v>61.9</v>
      </c>
      <c r="I177" s="93">
        <v>20</v>
      </c>
      <c r="J177" s="93" t="s">
        <v>67</v>
      </c>
      <c r="K177" s="96" t="s">
        <v>202</v>
      </c>
    </row>
    <row r="178" spans="1:11" s="105" customFormat="1" x14ac:dyDescent="0.35">
      <c r="A178" s="104"/>
      <c r="B178" s="92" t="s">
        <v>34</v>
      </c>
      <c r="C178" s="93" t="s">
        <v>63</v>
      </c>
      <c r="D178" s="93" t="s">
        <v>90</v>
      </c>
      <c r="E178" s="93" t="s">
        <v>69</v>
      </c>
      <c r="F178" s="93"/>
      <c r="G178" s="93" t="s">
        <v>74</v>
      </c>
      <c r="H178" s="94">
        <v>62.2</v>
      </c>
      <c r="I178" s="93">
        <v>20</v>
      </c>
      <c r="J178" s="93" t="s">
        <v>67</v>
      </c>
      <c r="K178" s="96" t="s">
        <v>203</v>
      </c>
    </row>
    <row r="179" spans="1:11" x14ac:dyDescent="0.35">
      <c r="B179" s="27" t="s">
        <v>34</v>
      </c>
      <c r="C179" s="2" t="s">
        <v>63</v>
      </c>
      <c r="D179" s="2" t="s">
        <v>91</v>
      </c>
      <c r="E179" s="2" t="s">
        <v>65</v>
      </c>
      <c r="F179" s="2"/>
      <c r="G179" s="2" t="s">
        <v>66</v>
      </c>
      <c r="H179" s="68">
        <v>69.3</v>
      </c>
      <c r="I179" s="2">
        <v>40</v>
      </c>
      <c r="J179" s="2" t="s">
        <v>67</v>
      </c>
      <c r="K179" s="25" t="s">
        <v>196</v>
      </c>
    </row>
    <row r="180" spans="1:11" x14ac:dyDescent="0.35">
      <c r="B180" s="27" t="s">
        <v>34</v>
      </c>
      <c r="C180" s="2" t="s">
        <v>63</v>
      </c>
      <c r="D180" s="2" t="s">
        <v>91</v>
      </c>
      <c r="E180" s="2" t="s">
        <v>69</v>
      </c>
      <c r="F180" s="2"/>
      <c r="G180" s="2" t="s">
        <v>66</v>
      </c>
      <c r="H180" s="68">
        <v>77.5</v>
      </c>
      <c r="I180" s="2">
        <v>40</v>
      </c>
      <c r="J180" s="2" t="s">
        <v>67</v>
      </c>
      <c r="K180" s="25" t="s">
        <v>195</v>
      </c>
    </row>
    <row r="181" spans="1:11" x14ac:dyDescent="0.35">
      <c r="B181" s="27" t="s">
        <v>34</v>
      </c>
      <c r="C181" s="2" t="s">
        <v>63</v>
      </c>
      <c r="D181" s="2" t="s">
        <v>91</v>
      </c>
      <c r="E181" s="2" t="s">
        <v>65</v>
      </c>
      <c r="F181" s="2"/>
      <c r="G181" s="2" t="s">
        <v>71</v>
      </c>
      <c r="H181" s="68">
        <v>52.4</v>
      </c>
      <c r="I181" s="2">
        <v>40</v>
      </c>
      <c r="J181" s="2" t="s">
        <v>67</v>
      </c>
      <c r="K181" s="25" t="s">
        <v>78</v>
      </c>
    </row>
    <row r="182" spans="1:11" x14ac:dyDescent="0.35">
      <c r="B182" s="27" t="s">
        <v>34</v>
      </c>
      <c r="C182" s="2" t="s">
        <v>63</v>
      </c>
      <c r="D182" s="2" t="s">
        <v>91</v>
      </c>
      <c r="E182" s="2" t="s">
        <v>69</v>
      </c>
      <c r="F182" s="2"/>
      <c r="G182" s="2" t="s">
        <v>71</v>
      </c>
      <c r="H182" s="68">
        <v>55.8</v>
      </c>
      <c r="I182" s="2">
        <v>40</v>
      </c>
      <c r="J182" s="2" t="s">
        <v>67</v>
      </c>
      <c r="K182" s="25" t="s">
        <v>79</v>
      </c>
    </row>
    <row r="183" spans="1:11" s="105" customFormat="1" x14ac:dyDescent="0.35">
      <c r="A183" s="104"/>
      <c r="B183" s="92" t="s">
        <v>34</v>
      </c>
      <c r="C183" s="93" t="s">
        <v>63</v>
      </c>
      <c r="D183" s="93" t="s">
        <v>91</v>
      </c>
      <c r="E183" s="93" t="s">
        <v>65</v>
      </c>
      <c r="F183" s="93"/>
      <c r="G183" s="93" t="s">
        <v>74</v>
      </c>
      <c r="H183" s="94">
        <v>36.799999999999997</v>
      </c>
      <c r="I183" s="93">
        <v>40</v>
      </c>
      <c r="J183" s="93" t="s">
        <v>67</v>
      </c>
      <c r="K183" s="96" t="s">
        <v>197</v>
      </c>
    </row>
    <row r="184" spans="1:11" s="105" customFormat="1" x14ac:dyDescent="0.35">
      <c r="A184" s="104"/>
      <c r="B184" s="92" t="s">
        <v>34</v>
      </c>
      <c r="C184" s="93" t="s">
        <v>63</v>
      </c>
      <c r="D184" s="93" t="s">
        <v>91</v>
      </c>
      <c r="E184" s="93" t="s">
        <v>69</v>
      </c>
      <c r="F184" s="93"/>
      <c r="G184" s="93" t="s">
        <v>74</v>
      </c>
      <c r="H184" s="94">
        <v>38</v>
      </c>
      <c r="I184" s="93">
        <v>40</v>
      </c>
      <c r="J184" s="93" t="s">
        <v>67</v>
      </c>
      <c r="K184" s="96" t="s">
        <v>198</v>
      </c>
    </row>
    <row r="185" spans="1:11" ht="15.5" x14ac:dyDescent="0.35">
      <c r="A185" s="67" t="s">
        <v>37</v>
      </c>
      <c r="B185" s="30"/>
      <c r="C185" s="34"/>
      <c r="D185" s="14"/>
      <c r="E185" s="26"/>
      <c r="F185" s="16"/>
      <c r="G185" s="16"/>
      <c r="H185" s="16"/>
      <c r="I185" s="17"/>
      <c r="J185" s="17"/>
      <c r="K185" s="18"/>
    </row>
    <row r="186" spans="1:11" x14ac:dyDescent="0.35">
      <c r="B186" s="27" t="s">
        <v>37</v>
      </c>
      <c r="C186" s="2" t="s">
        <v>63</v>
      </c>
      <c r="D186" s="2" t="s">
        <v>64</v>
      </c>
      <c r="E186" s="2" t="s">
        <v>65</v>
      </c>
      <c r="F186" s="2"/>
      <c r="G186" s="2" t="s">
        <v>66</v>
      </c>
      <c r="H186" s="68">
        <v>292</v>
      </c>
      <c r="I186" s="2">
        <v>1</v>
      </c>
      <c r="J186" s="2" t="s">
        <v>67</v>
      </c>
      <c r="K186" s="25" t="s">
        <v>204</v>
      </c>
    </row>
    <row r="187" spans="1:11" x14ac:dyDescent="0.35">
      <c r="B187" s="27" t="s">
        <v>37</v>
      </c>
      <c r="C187" s="2" t="s">
        <v>63</v>
      </c>
      <c r="D187" s="2" t="s">
        <v>64</v>
      </c>
      <c r="E187" s="2" t="s">
        <v>69</v>
      </c>
      <c r="F187" s="2"/>
      <c r="G187" s="2" t="s">
        <v>66</v>
      </c>
      <c r="H187" s="68">
        <v>314</v>
      </c>
      <c r="I187" s="2">
        <v>1</v>
      </c>
      <c r="J187" s="2" t="s">
        <v>67</v>
      </c>
      <c r="K187" s="25" t="s">
        <v>205</v>
      </c>
    </row>
    <row r="188" spans="1:11" x14ac:dyDescent="0.35">
      <c r="B188" s="27" t="s">
        <v>37</v>
      </c>
      <c r="C188" s="2" t="s">
        <v>63</v>
      </c>
      <c r="D188" s="2" t="s">
        <v>64</v>
      </c>
      <c r="E188" s="2" t="s">
        <v>65</v>
      </c>
      <c r="F188" s="2"/>
      <c r="G188" s="2" t="s">
        <v>71</v>
      </c>
      <c r="H188" s="68">
        <v>182</v>
      </c>
      <c r="I188" s="2">
        <v>1</v>
      </c>
      <c r="J188" s="2" t="s">
        <v>67</v>
      </c>
      <c r="K188" s="25" t="s">
        <v>94</v>
      </c>
    </row>
    <row r="189" spans="1:11" x14ac:dyDescent="0.35">
      <c r="B189" s="27" t="s">
        <v>37</v>
      </c>
      <c r="C189" s="2" t="s">
        <v>63</v>
      </c>
      <c r="D189" s="2" t="s">
        <v>64</v>
      </c>
      <c r="E189" s="2" t="s">
        <v>69</v>
      </c>
      <c r="F189" s="2"/>
      <c r="G189" s="2" t="s">
        <v>71</v>
      </c>
      <c r="H189" s="68">
        <v>192</v>
      </c>
      <c r="I189" s="2">
        <v>1</v>
      </c>
      <c r="J189" s="2" t="s">
        <v>67</v>
      </c>
      <c r="K189" s="25" t="s">
        <v>95</v>
      </c>
    </row>
    <row r="190" spans="1:11" s="105" customFormat="1" x14ac:dyDescent="0.35">
      <c r="A190" s="104"/>
      <c r="B190" s="92" t="s">
        <v>37</v>
      </c>
      <c r="C190" s="93" t="s">
        <v>63</v>
      </c>
      <c r="D190" s="93" t="s">
        <v>64</v>
      </c>
      <c r="E190" s="93" t="s">
        <v>65</v>
      </c>
      <c r="F190" s="93"/>
      <c r="G190" s="93" t="s">
        <v>74</v>
      </c>
      <c r="H190" s="94">
        <v>182</v>
      </c>
      <c r="I190" s="93">
        <v>1</v>
      </c>
      <c r="J190" s="93" t="s">
        <v>67</v>
      </c>
      <c r="K190" s="96" t="s">
        <v>206</v>
      </c>
    </row>
    <row r="191" spans="1:11" s="105" customFormat="1" x14ac:dyDescent="0.35">
      <c r="A191" s="104"/>
      <c r="B191" s="92" t="s">
        <v>37</v>
      </c>
      <c r="C191" s="93" t="s">
        <v>63</v>
      </c>
      <c r="D191" s="93" t="s">
        <v>64</v>
      </c>
      <c r="E191" s="93" t="s">
        <v>69</v>
      </c>
      <c r="F191" s="93"/>
      <c r="G191" s="93" t="s">
        <v>74</v>
      </c>
      <c r="H191" s="94">
        <v>192</v>
      </c>
      <c r="I191" s="93">
        <v>1</v>
      </c>
      <c r="J191" s="93" t="s">
        <v>67</v>
      </c>
      <c r="K191" s="96" t="s">
        <v>207</v>
      </c>
    </row>
    <row r="192" spans="1:11" x14ac:dyDescent="0.35">
      <c r="B192" s="27" t="s">
        <v>37</v>
      </c>
      <c r="C192" s="2" t="s">
        <v>63</v>
      </c>
      <c r="D192" s="2" t="s">
        <v>75</v>
      </c>
      <c r="E192" s="2" t="s">
        <v>65</v>
      </c>
      <c r="F192" s="2"/>
      <c r="G192" s="2" t="s">
        <v>66</v>
      </c>
      <c r="H192" s="68">
        <v>301.7</v>
      </c>
      <c r="I192" s="2">
        <v>30</v>
      </c>
      <c r="J192" s="2" t="s">
        <v>67</v>
      </c>
      <c r="K192" s="25" t="s">
        <v>208</v>
      </c>
    </row>
    <row r="193" spans="1:11" x14ac:dyDescent="0.35">
      <c r="B193" s="27" t="s">
        <v>37</v>
      </c>
      <c r="C193" s="2" t="s">
        <v>63</v>
      </c>
      <c r="D193" s="2" t="s">
        <v>75</v>
      </c>
      <c r="E193" s="2" t="s">
        <v>69</v>
      </c>
      <c r="F193" s="2"/>
      <c r="G193" s="2" t="s">
        <v>66</v>
      </c>
      <c r="H193" s="68">
        <v>342.2</v>
      </c>
      <c r="I193" s="2">
        <v>30</v>
      </c>
      <c r="J193" s="2" t="s">
        <v>67</v>
      </c>
      <c r="K193" s="25" t="s">
        <v>209</v>
      </c>
    </row>
    <row r="194" spans="1:11" x14ac:dyDescent="0.35">
      <c r="B194" s="27" t="s">
        <v>37</v>
      </c>
      <c r="C194" s="2" t="s">
        <v>63</v>
      </c>
      <c r="D194" s="2" t="s">
        <v>75</v>
      </c>
      <c r="E194" s="2" t="s">
        <v>65</v>
      </c>
      <c r="F194" s="2"/>
      <c r="G194" s="2" t="s">
        <v>71</v>
      </c>
      <c r="H194" s="68">
        <v>119.9</v>
      </c>
      <c r="I194" s="2">
        <v>30</v>
      </c>
      <c r="J194" s="2" t="s">
        <v>67</v>
      </c>
      <c r="K194" s="25" t="s">
        <v>98</v>
      </c>
    </row>
    <row r="195" spans="1:11" x14ac:dyDescent="0.35">
      <c r="B195" s="27" t="s">
        <v>37</v>
      </c>
      <c r="C195" s="2" t="s">
        <v>63</v>
      </c>
      <c r="D195" s="2" t="s">
        <v>75</v>
      </c>
      <c r="E195" s="2" t="s">
        <v>69</v>
      </c>
      <c r="F195" s="2"/>
      <c r="G195" s="2" t="s">
        <v>71</v>
      </c>
      <c r="H195" s="68">
        <v>127.6</v>
      </c>
      <c r="I195" s="2">
        <v>30</v>
      </c>
      <c r="J195" s="2" t="s">
        <v>67</v>
      </c>
      <c r="K195" s="25" t="s">
        <v>99</v>
      </c>
    </row>
    <row r="196" spans="1:11" s="105" customFormat="1" x14ac:dyDescent="0.35">
      <c r="A196" s="104"/>
      <c r="B196" s="92" t="s">
        <v>37</v>
      </c>
      <c r="C196" s="93" t="s">
        <v>63</v>
      </c>
      <c r="D196" s="93" t="s">
        <v>75</v>
      </c>
      <c r="E196" s="93" t="s">
        <v>65</v>
      </c>
      <c r="F196" s="93"/>
      <c r="G196" s="93" t="s">
        <v>74</v>
      </c>
      <c r="H196" s="94">
        <v>75</v>
      </c>
      <c r="I196" s="93">
        <v>30</v>
      </c>
      <c r="J196" s="93" t="s">
        <v>67</v>
      </c>
      <c r="K196" s="96" t="s">
        <v>210</v>
      </c>
    </row>
    <row r="197" spans="1:11" s="105" customFormat="1" x14ac:dyDescent="0.35">
      <c r="A197" s="104"/>
      <c r="B197" s="92" t="s">
        <v>37</v>
      </c>
      <c r="C197" s="93" t="s">
        <v>63</v>
      </c>
      <c r="D197" s="93" t="s">
        <v>75</v>
      </c>
      <c r="E197" s="93" t="s">
        <v>69</v>
      </c>
      <c r="F197" s="93"/>
      <c r="G197" s="93" t="s">
        <v>74</v>
      </c>
      <c r="H197" s="94">
        <v>75.7</v>
      </c>
      <c r="I197" s="93">
        <v>30</v>
      </c>
      <c r="J197" s="93" t="s">
        <v>67</v>
      </c>
      <c r="K197" s="96" t="s">
        <v>211</v>
      </c>
    </row>
    <row r="198" spans="1:11" x14ac:dyDescent="0.35">
      <c r="B198" s="27" t="s">
        <v>37</v>
      </c>
      <c r="C198" s="2" t="s">
        <v>63</v>
      </c>
      <c r="D198" s="2" t="s">
        <v>80</v>
      </c>
      <c r="E198" s="2" t="s">
        <v>65</v>
      </c>
      <c r="F198" s="2"/>
      <c r="G198" s="2" t="s">
        <v>66</v>
      </c>
      <c r="H198" s="68">
        <v>332.5</v>
      </c>
      <c r="I198" s="2">
        <v>30</v>
      </c>
      <c r="J198" s="2" t="s">
        <v>67</v>
      </c>
      <c r="K198" s="25" t="s">
        <v>212</v>
      </c>
    </row>
    <row r="199" spans="1:11" x14ac:dyDescent="0.35">
      <c r="B199" s="27" t="s">
        <v>37</v>
      </c>
      <c r="C199" s="2" t="s">
        <v>63</v>
      </c>
      <c r="D199" s="2" t="s">
        <v>80</v>
      </c>
      <c r="E199" s="2" t="s">
        <v>69</v>
      </c>
      <c r="F199" s="2"/>
      <c r="G199" s="2" t="s">
        <v>66</v>
      </c>
      <c r="H199" s="68">
        <v>372.3</v>
      </c>
      <c r="I199" s="2">
        <v>30</v>
      </c>
      <c r="J199" s="2" t="s">
        <v>67</v>
      </c>
      <c r="K199" s="25" t="s">
        <v>213</v>
      </c>
    </row>
    <row r="200" spans="1:11" x14ac:dyDescent="0.35">
      <c r="B200" s="27" t="s">
        <v>37</v>
      </c>
      <c r="C200" s="2" t="s">
        <v>63</v>
      </c>
      <c r="D200" s="2" t="s">
        <v>80</v>
      </c>
      <c r="E200" s="2" t="s">
        <v>65</v>
      </c>
      <c r="F200" s="2"/>
      <c r="G200" s="2" t="s">
        <v>71</v>
      </c>
      <c r="H200" s="68">
        <v>82.2</v>
      </c>
      <c r="I200" s="2">
        <v>30</v>
      </c>
      <c r="J200" s="2" t="s">
        <v>67</v>
      </c>
      <c r="K200" s="25" t="s">
        <v>102</v>
      </c>
    </row>
    <row r="201" spans="1:11" x14ac:dyDescent="0.35">
      <c r="B201" s="27" t="s">
        <v>37</v>
      </c>
      <c r="C201" s="2" t="s">
        <v>63</v>
      </c>
      <c r="D201" s="2" t="s">
        <v>80</v>
      </c>
      <c r="E201" s="2" t="s">
        <v>69</v>
      </c>
      <c r="F201" s="2"/>
      <c r="G201" s="2" t="s">
        <v>71</v>
      </c>
      <c r="H201" s="68">
        <v>88.6</v>
      </c>
      <c r="I201" s="2">
        <v>30</v>
      </c>
      <c r="J201" s="2" t="s">
        <v>67</v>
      </c>
      <c r="K201" s="25" t="s">
        <v>103</v>
      </c>
    </row>
    <row r="202" spans="1:11" s="105" customFormat="1" x14ac:dyDescent="0.35">
      <c r="A202" s="104"/>
      <c r="B202" s="92" t="s">
        <v>37</v>
      </c>
      <c r="C202" s="93" t="s">
        <v>63</v>
      </c>
      <c r="D202" s="93" t="s">
        <v>80</v>
      </c>
      <c r="E202" s="93" t="s">
        <v>65</v>
      </c>
      <c r="F202" s="93"/>
      <c r="G202" s="93" t="s">
        <v>74</v>
      </c>
      <c r="H202" s="94">
        <v>43.7</v>
      </c>
      <c r="I202" s="93">
        <v>30</v>
      </c>
      <c r="J202" s="93" t="s">
        <v>67</v>
      </c>
      <c r="K202" s="96" t="s">
        <v>214</v>
      </c>
    </row>
    <row r="203" spans="1:11" s="105" customFormat="1" x14ac:dyDescent="0.35">
      <c r="A203" s="104"/>
      <c r="B203" s="92" t="s">
        <v>37</v>
      </c>
      <c r="C203" s="93" t="s">
        <v>63</v>
      </c>
      <c r="D203" s="93" t="s">
        <v>80</v>
      </c>
      <c r="E203" s="93" t="s">
        <v>69</v>
      </c>
      <c r="F203" s="93"/>
      <c r="G203" s="93" t="s">
        <v>74</v>
      </c>
      <c r="H203" s="94">
        <v>43.7</v>
      </c>
      <c r="I203" s="93">
        <v>30</v>
      </c>
      <c r="J203" s="93" t="s">
        <v>67</v>
      </c>
      <c r="K203" s="96" t="s">
        <v>215</v>
      </c>
    </row>
    <row r="204" spans="1:11" x14ac:dyDescent="0.35">
      <c r="B204" s="27" t="s">
        <v>37</v>
      </c>
      <c r="C204" s="2" t="s">
        <v>63</v>
      </c>
      <c r="D204" s="2" t="s">
        <v>85</v>
      </c>
      <c r="E204" s="2" t="s">
        <v>65</v>
      </c>
      <c r="F204" s="2"/>
      <c r="G204" s="2" t="s">
        <v>66</v>
      </c>
      <c r="H204" s="68">
        <v>105.3</v>
      </c>
      <c r="I204" s="2">
        <v>60</v>
      </c>
      <c r="J204" s="2" t="s">
        <v>67</v>
      </c>
      <c r="K204" s="25" t="s">
        <v>208</v>
      </c>
    </row>
    <row r="205" spans="1:11" x14ac:dyDescent="0.35">
      <c r="B205" s="27" t="s">
        <v>37</v>
      </c>
      <c r="C205" s="2" t="s">
        <v>63</v>
      </c>
      <c r="D205" s="2" t="s">
        <v>85</v>
      </c>
      <c r="E205" s="2" t="s">
        <v>69</v>
      </c>
      <c r="F205" s="2"/>
      <c r="G205" s="2" t="s">
        <v>66</v>
      </c>
      <c r="H205" s="68">
        <v>119.1</v>
      </c>
      <c r="I205" s="2">
        <v>60</v>
      </c>
      <c r="J205" s="2" t="s">
        <v>67</v>
      </c>
      <c r="K205" s="25" t="s">
        <v>209</v>
      </c>
    </row>
    <row r="206" spans="1:11" x14ac:dyDescent="0.35">
      <c r="A206" s="70"/>
      <c r="B206" s="27" t="s">
        <v>37</v>
      </c>
      <c r="C206" s="2" t="s">
        <v>63</v>
      </c>
      <c r="D206" s="2" t="s">
        <v>85</v>
      </c>
      <c r="E206" s="2" t="s">
        <v>65</v>
      </c>
      <c r="F206" s="2"/>
      <c r="G206" s="2" t="s">
        <v>71</v>
      </c>
      <c r="H206" s="68">
        <v>60.6</v>
      </c>
      <c r="I206" s="2">
        <v>60</v>
      </c>
      <c r="J206" s="2" t="s">
        <v>67</v>
      </c>
      <c r="K206" s="25" t="s">
        <v>98</v>
      </c>
    </row>
    <row r="207" spans="1:11" x14ac:dyDescent="0.35">
      <c r="B207" s="27" t="s">
        <v>37</v>
      </c>
      <c r="C207" s="2" t="s">
        <v>63</v>
      </c>
      <c r="D207" s="2" t="s">
        <v>85</v>
      </c>
      <c r="E207" s="2" t="s">
        <v>69</v>
      </c>
      <c r="F207" s="2"/>
      <c r="G207" s="2" t="s">
        <v>71</v>
      </c>
      <c r="H207" s="68">
        <v>66.400000000000006</v>
      </c>
      <c r="I207" s="2">
        <v>60</v>
      </c>
      <c r="J207" s="2" t="s">
        <v>67</v>
      </c>
      <c r="K207" s="25" t="s">
        <v>99</v>
      </c>
    </row>
    <row r="208" spans="1:11" s="105" customFormat="1" x14ac:dyDescent="0.35">
      <c r="A208" s="104"/>
      <c r="B208" s="92" t="s">
        <v>37</v>
      </c>
      <c r="C208" s="93" t="s">
        <v>63</v>
      </c>
      <c r="D208" s="93" t="s">
        <v>85</v>
      </c>
      <c r="E208" s="93" t="s">
        <v>65</v>
      </c>
      <c r="F208" s="93"/>
      <c r="G208" s="93" t="s">
        <v>74</v>
      </c>
      <c r="H208" s="94">
        <v>33.4</v>
      </c>
      <c r="I208" s="93">
        <v>60</v>
      </c>
      <c r="J208" s="93" t="s">
        <v>67</v>
      </c>
      <c r="K208" s="96" t="s">
        <v>210</v>
      </c>
    </row>
    <row r="209" spans="1:11" s="105" customFormat="1" x14ac:dyDescent="0.35">
      <c r="A209" s="104"/>
      <c r="B209" s="92" t="s">
        <v>37</v>
      </c>
      <c r="C209" s="93" t="s">
        <v>63</v>
      </c>
      <c r="D209" s="93" t="s">
        <v>85</v>
      </c>
      <c r="E209" s="93" t="s">
        <v>69</v>
      </c>
      <c r="F209" s="93"/>
      <c r="G209" s="93" t="s">
        <v>74</v>
      </c>
      <c r="H209" s="94">
        <v>34</v>
      </c>
      <c r="I209" s="93">
        <v>60</v>
      </c>
      <c r="J209" s="93" t="s">
        <v>67</v>
      </c>
      <c r="K209" s="96" t="s">
        <v>211</v>
      </c>
    </row>
    <row r="210" spans="1:11" x14ac:dyDescent="0.35">
      <c r="B210" s="27" t="s">
        <v>37</v>
      </c>
      <c r="C210" s="2" t="s">
        <v>63</v>
      </c>
      <c r="D210" s="2" t="s">
        <v>86</v>
      </c>
      <c r="E210" s="2" t="s">
        <v>65</v>
      </c>
      <c r="F210" s="2"/>
      <c r="G210" s="2" t="s">
        <v>66</v>
      </c>
      <c r="H210" s="68">
        <v>288.5</v>
      </c>
      <c r="I210" s="2">
        <v>20</v>
      </c>
      <c r="J210" s="2" t="s">
        <v>67</v>
      </c>
      <c r="K210" s="25" t="s">
        <v>208</v>
      </c>
    </row>
    <row r="211" spans="1:11" x14ac:dyDescent="0.35">
      <c r="B211" s="27" t="s">
        <v>37</v>
      </c>
      <c r="C211" s="2" t="s">
        <v>63</v>
      </c>
      <c r="D211" s="2" t="s">
        <v>86</v>
      </c>
      <c r="E211" s="2" t="s">
        <v>69</v>
      </c>
      <c r="F211" s="2"/>
      <c r="G211" s="2" t="s">
        <v>66</v>
      </c>
      <c r="H211" s="68">
        <v>324.60000000000002</v>
      </c>
      <c r="I211" s="2">
        <v>20</v>
      </c>
      <c r="J211" s="2" t="s">
        <v>67</v>
      </c>
      <c r="K211" s="25" t="s">
        <v>209</v>
      </c>
    </row>
    <row r="212" spans="1:11" x14ac:dyDescent="0.35">
      <c r="B212" s="27" t="s">
        <v>37</v>
      </c>
      <c r="C212" s="2" t="s">
        <v>63</v>
      </c>
      <c r="D212" s="2" t="s">
        <v>86</v>
      </c>
      <c r="E212" s="2" t="s">
        <v>65</v>
      </c>
      <c r="F212" s="2"/>
      <c r="G212" s="2" t="s">
        <v>71</v>
      </c>
      <c r="H212" s="68">
        <v>122</v>
      </c>
      <c r="I212" s="2">
        <v>20</v>
      </c>
      <c r="J212" s="2" t="s">
        <v>67</v>
      </c>
      <c r="K212" s="25" t="s">
        <v>98</v>
      </c>
    </row>
    <row r="213" spans="1:11" x14ac:dyDescent="0.35">
      <c r="B213" s="27" t="s">
        <v>37</v>
      </c>
      <c r="C213" s="2" t="s">
        <v>63</v>
      </c>
      <c r="D213" s="2" t="s">
        <v>86</v>
      </c>
      <c r="E213" s="2" t="s">
        <v>69</v>
      </c>
      <c r="F213" s="2"/>
      <c r="G213" s="2" t="s">
        <v>71</v>
      </c>
      <c r="H213" s="68">
        <v>129.80000000000001</v>
      </c>
      <c r="I213" s="2">
        <v>20</v>
      </c>
      <c r="J213" s="2" t="s">
        <v>67</v>
      </c>
      <c r="K213" s="25" t="s">
        <v>99</v>
      </c>
    </row>
    <row r="214" spans="1:11" s="105" customFormat="1" x14ac:dyDescent="0.35">
      <c r="A214" s="104"/>
      <c r="B214" s="92" t="s">
        <v>37</v>
      </c>
      <c r="C214" s="93" t="s">
        <v>63</v>
      </c>
      <c r="D214" s="93" t="s">
        <v>86</v>
      </c>
      <c r="E214" s="93" t="s">
        <v>65</v>
      </c>
      <c r="F214" s="93"/>
      <c r="G214" s="93" t="s">
        <v>74</v>
      </c>
      <c r="H214" s="94">
        <v>72.5</v>
      </c>
      <c r="I214" s="93">
        <v>20</v>
      </c>
      <c r="J214" s="93" t="s">
        <v>67</v>
      </c>
      <c r="K214" s="96" t="s">
        <v>210</v>
      </c>
    </row>
    <row r="215" spans="1:11" s="105" customFormat="1" x14ac:dyDescent="0.35">
      <c r="A215" s="104"/>
      <c r="B215" s="92" t="s">
        <v>37</v>
      </c>
      <c r="C215" s="93" t="s">
        <v>63</v>
      </c>
      <c r="D215" s="93" t="s">
        <v>86</v>
      </c>
      <c r="E215" s="93" t="s">
        <v>69</v>
      </c>
      <c r="F215" s="93"/>
      <c r="G215" s="93" t="s">
        <v>74</v>
      </c>
      <c r="H215" s="94">
        <v>73.5</v>
      </c>
      <c r="I215" s="93">
        <v>20</v>
      </c>
      <c r="J215" s="93" t="s">
        <v>67</v>
      </c>
      <c r="K215" s="96" t="s">
        <v>211</v>
      </c>
    </row>
    <row r="216" spans="1:11" x14ac:dyDescent="0.35">
      <c r="B216" s="27" t="s">
        <v>37</v>
      </c>
      <c r="C216" s="2" t="s">
        <v>63</v>
      </c>
      <c r="D216" s="2" t="s">
        <v>87</v>
      </c>
      <c r="E216" s="2" t="s">
        <v>65</v>
      </c>
      <c r="F216" s="2"/>
      <c r="G216" s="2" t="s">
        <v>66</v>
      </c>
      <c r="H216" s="68">
        <v>228.4</v>
      </c>
      <c r="I216" s="2">
        <v>20</v>
      </c>
      <c r="J216" s="2" t="s">
        <v>67</v>
      </c>
      <c r="K216" s="25" t="s">
        <v>212</v>
      </c>
    </row>
    <row r="217" spans="1:11" x14ac:dyDescent="0.35">
      <c r="A217" s="70"/>
      <c r="B217" s="27" t="s">
        <v>37</v>
      </c>
      <c r="C217" s="2" t="s">
        <v>63</v>
      </c>
      <c r="D217" s="2" t="s">
        <v>87</v>
      </c>
      <c r="E217" s="2" t="s">
        <v>69</v>
      </c>
      <c r="F217" s="2"/>
      <c r="G217" s="2" t="s">
        <v>66</v>
      </c>
      <c r="H217" s="68">
        <v>255</v>
      </c>
      <c r="I217" s="2">
        <v>20</v>
      </c>
      <c r="J217" s="2" t="s">
        <v>67</v>
      </c>
      <c r="K217" s="25" t="s">
        <v>213</v>
      </c>
    </row>
    <row r="218" spans="1:11" x14ac:dyDescent="0.35">
      <c r="B218" s="27" t="s">
        <v>37</v>
      </c>
      <c r="C218" s="2" t="s">
        <v>63</v>
      </c>
      <c r="D218" s="2" t="s">
        <v>87</v>
      </c>
      <c r="E218" s="2" t="s">
        <v>65</v>
      </c>
      <c r="F218" s="2"/>
      <c r="G218" s="2" t="s">
        <v>71</v>
      </c>
      <c r="H218" s="68">
        <v>81.599999999999994</v>
      </c>
      <c r="I218" s="2">
        <v>20</v>
      </c>
      <c r="J218" s="2" t="s">
        <v>67</v>
      </c>
      <c r="K218" s="25" t="s">
        <v>102</v>
      </c>
    </row>
    <row r="219" spans="1:11" x14ac:dyDescent="0.35">
      <c r="B219" s="27" t="s">
        <v>37</v>
      </c>
      <c r="C219" s="2" t="s">
        <v>63</v>
      </c>
      <c r="D219" s="2" t="s">
        <v>87</v>
      </c>
      <c r="E219" s="2" t="s">
        <v>69</v>
      </c>
      <c r="F219" s="2"/>
      <c r="G219" s="2" t="s">
        <v>71</v>
      </c>
      <c r="H219" s="68">
        <v>88.3</v>
      </c>
      <c r="I219" s="2">
        <v>20</v>
      </c>
      <c r="J219" s="2" t="s">
        <v>67</v>
      </c>
      <c r="K219" s="25" t="s">
        <v>103</v>
      </c>
    </row>
    <row r="220" spans="1:11" s="105" customFormat="1" x14ac:dyDescent="0.35">
      <c r="A220" s="104"/>
      <c r="B220" s="92" t="s">
        <v>37</v>
      </c>
      <c r="C220" s="93" t="s">
        <v>63</v>
      </c>
      <c r="D220" s="93" t="s">
        <v>87</v>
      </c>
      <c r="E220" s="93" t="s">
        <v>65</v>
      </c>
      <c r="F220" s="93"/>
      <c r="G220" s="93" t="s">
        <v>74</v>
      </c>
      <c r="H220" s="94">
        <v>46.8</v>
      </c>
      <c r="I220" s="93">
        <v>20</v>
      </c>
      <c r="J220" s="93" t="s">
        <v>67</v>
      </c>
      <c r="K220" s="96" t="s">
        <v>214</v>
      </c>
    </row>
    <row r="221" spans="1:11" s="105" customFormat="1" x14ac:dyDescent="0.35">
      <c r="A221" s="104"/>
      <c r="B221" s="92" t="s">
        <v>37</v>
      </c>
      <c r="C221" s="93" t="s">
        <v>63</v>
      </c>
      <c r="D221" s="93" t="s">
        <v>87</v>
      </c>
      <c r="E221" s="93" t="s">
        <v>69</v>
      </c>
      <c r="F221" s="93"/>
      <c r="G221" s="93" t="s">
        <v>74</v>
      </c>
      <c r="H221" s="94">
        <v>47.2</v>
      </c>
      <c r="I221" s="93">
        <v>20</v>
      </c>
      <c r="J221" s="93" t="s">
        <v>67</v>
      </c>
      <c r="K221" s="96" t="s">
        <v>215</v>
      </c>
    </row>
    <row r="222" spans="1:11" x14ac:dyDescent="0.35">
      <c r="B222" s="27" t="s">
        <v>37</v>
      </c>
      <c r="C222" s="2" t="s">
        <v>63</v>
      </c>
      <c r="D222" s="2" t="s">
        <v>88</v>
      </c>
      <c r="E222" s="2" t="s">
        <v>65</v>
      </c>
      <c r="F222" s="2"/>
      <c r="G222" s="2" t="s">
        <v>66</v>
      </c>
      <c r="H222" s="68">
        <v>87.7</v>
      </c>
      <c r="I222" s="2">
        <v>40</v>
      </c>
      <c r="J222" s="2" t="s">
        <v>67</v>
      </c>
      <c r="K222" s="25" t="s">
        <v>208</v>
      </c>
    </row>
    <row r="223" spans="1:11" x14ac:dyDescent="0.35">
      <c r="B223" s="27" t="s">
        <v>37</v>
      </c>
      <c r="C223" s="2" t="s">
        <v>63</v>
      </c>
      <c r="D223" s="2" t="s">
        <v>88</v>
      </c>
      <c r="E223" s="2" t="s">
        <v>69</v>
      </c>
      <c r="F223" s="2"/>
      <c r="G223" s="2" t="s">
        <v>66</v>
      </c>
      <c r="H223" s="68">
        <v>99.1</v>
      </c>
      <c r="I223" s="2">
        <v>40</v>
      </c>
      <c r="J223" s="2" t="s">
        <v>67</v>
      </c>
      <c r="K223" s="25" t="s">
        <v>209</v>
      </c>
    </row>
    <row r="224" spans="1:11" x14ac:dyDescent="0.35">
      <c r="B224" s="27" t="s">
        <v>37</v>
      </c>
      <c r="C224" s="2" t="s">
        <v>63</v>
      </c>
      <c r="D224" s="2" t="s">
        <v>88</v>
      </c>
      <c r="E224" s="2" t="s">
        <v>65</v>
      </c>
      <c r="F224" s="2"/>
      <c r="G224" s="2" t="s">
        <v>71</v>
      </c>
      <c r="H224" s="68">
        <v>51.6</v>
      </c>
      <c r="I224" s="2">
        <v>40</v>
      </c>
      <c r="J224" s="2" t="s">
        <v>67</v>
      </c>
      <c r="K224" s="25" t="s">
        <v>98</v>
      </c>
    </row>
    <row r="225" spans="1:11" x14ac:dyDescent="0.35">
      <c r="B225" s="27" t="s">
        <v>37</v>
      </c>
      <c r="C225" s="2" t="s">
        <v>63</v>
      </c>
      <c r="D225" s="2" t="s">
        <v>88</v>
      </c>
      <c r="E225" s="2" t="s">
        <v>69</v>
      </c>
      <c r="F225" s="2"/>
      <c r="G225" s="2" t="s">
        <v>71</v>
      </c>
      <c r="H225" s="68">
        <v>55.3</v>
      </c>
      <c r="I225" s="2">
        <v>40</v>
      </c>
      <c r="J225" s="2" t="s">
        <v>67</v>
      </c>
      <c r="K225" s="25" t="s">
        <v>99</v>
      </c>
    </row>
    <row r="226" spans="1:11" s="105" customFormat="1" x14ac:dyDescent="0.35">
      <c r="A226" s="104"/>
      <c r="B226" s="92" t="s">
        <v>37</v>
      </c>
      <c r="C226" s="93" t="s">
        <v>63</v>
      </c>
      <c r="D226" s="93" t="s">
        <v>88</v>
      </c>
      <c r="E226" s="93" t="s">
        <v>65</v>
      </c>
      <c r="F226" s="93"/>
      <c r="G226" s="93" t="s">
        <v>74</v>
      </c>
      <c r="H226" s="94">
        <v>30.1</v>
      </c>
      <c r="I226" s="93">
        <v>40</v>
      </c>
      <c r="J226" s="93" t="s">
        <v>67</v>
      </c>
      <c r="K226" s="96" t="s">
        <v>210</v>
      </c>
    </row>
    <row r="227" spans="1:11" s="105" customFormat="1" x14ac:dyDescent="0.35">
      <c r="A227" s="104"/>
      <c r="B227" s="92" t="s">
        <v>37</v>
      </c>
      <c r="C227" s="93" t="s">
        <v>63</v>
      </c>
      <c r="D227" s="93" t="s">
        <v>88</v>
      </c>
      <c r="E227" s="93" t="s">
        <v>69</v>
      </c>
      <c r="F227" s="93"/>
      <c r="G227" s="93" t="s">
        <v>74</v>
      </c>
      <c r="H227" s="94">
        <v>47.2</v>
      </c>
      <c r="I227" s="93">
        <v>40</v>
      </c>
      <c r="J227" s="93" t="s">
        <v>67</v>
      </c>
      <c r="K227" s="96" t="s">
        <v>211</v>
      </c>
    </row>
    <row r="228" spans="1:11" x14ac:dyDescent="0.35">
      <c r="B228" s="27" t="s">
        <v>37</v>
      </c>
      <c r="C228" s="2" t="s">
        <v>63</v>
      </c>
      <c r="D228" s="2" t="s">
        <v>89</v>
      </c>
      <c r="E228" s="2" t="s">
        <v>65</v>
      </c>
      <c r="F228" s="2"/>
      <c r="G228" s="2" t="s">
        <v>66</v>
      </c>
      <c r="H228" s="68">
        <v>289</v>
      </c>
      <c r="I228" s="2">
        <v>20</v>
      </c>
      <c r="J228" s="2" t="s">
        <v>67</v>
      </c>
      <c r="K228" s="25" t="s">
        <v>208</v>
      </c>
    </row>
    <row r="229" spans="1:11" x14ac:dyDescent="0.35">
      <c r="B229" s="27" t="s">
        <v>37</v>
      </c>
      <c r="C229" s="2" t="s">
        <v>63</v>
      </c>
      <c r="D229" s="2" t="s">
        <v>89</v>
      </c>
      <c r="E229" s="2" t="s">
        <v>69</v>
      </c>
      <c r="F229" s="2"/>
      <c r="G229" s="2" t="s">
        <v>66</v>
      </c>
      <c r="H229" s="68">
        <v>325.3</v>
      </c>
      <c r="I229" s="2">
        <v>20</v>
      </c>
      <c r="J229" s="2" t="s">
        <v>67</v>
      </c>
      <c r="K229" s="25" t="s">
        <v>209</v>
      </c>
    </row>
    <row r="230" spans="1:11" x14ac:dyDescent="0.35">
      <c r="B230" s="27" t="s">
        <v>37</v>
      </c>
      <c r="C230" s="2" t="s">
        <v>63</v>
      </c>
      <c r="D230" s="2" t="s">
        <v>89</v>
      </c>
      <c r="E230" s="2" t="s">
        <v>65</v>
      </c>
      <c r="F230" s="2"/>
      <c r="G230" s="2" t="s">
        <v>71</v>
      </c>
      <c r="H230" s="68">
        <v>125.4</v>
      </c>
      <c r="I230" s="2">
        <v>20</v>
      </c>
      <c r="J230" s="2" t="s">
        <v>67</v>
      </c>
      <c r="K230" s="25" t="s">
        <v>98</v>
      </c>
    </row>
    <row r="231" spans="1:11" x14ac:dyDescent="0.35">
      <c r="B231" s="27" t="s">
        <v>37</v>
      </c>
      <c r="C231" s="2" t="s">
        <v>63</v>
      </c>
      <c r="D231" s="2" t="s">
        <v>89</v>
      </c>
      <c r="E231" s="2" t="s">
        <v>69</v>
      </c>
      <c r="F231" s="2"/>
      <c r="G231" s="2" t="s">
        <v>71</v>
      </c>
      <c r="H231" s="68">
        <v>133.19999999999999</v>
      </c>
      <c r="I231" s="2">
        <v>20</v>
      </c>
      <c r="J231" s="2" t="s">
        <v>67</v>
      </c>
      <c r="K231" s="25" t="s">
        <v>99</v>
      </c>
    </row>
    <row r="232" spans="1:11" s="105" customFormat="1" x14ac:dyDescent="0.35">
      <c r="A232" s="104"/>
      <c r="B232" s="92" t="s">
        <v>37</v>
      </c>
      <c r="C232" s="93" t="s">
        <v>63</v>
      </c>
      <c r="D232" s="93" t="s">
        <v>89</v>
      </c>
      <c r="E232" s="93" t="s">
        <v>65</v>
      </c>
      <c r="F232" s="93"/>
      <c r="G232" s="93" t="s">
        <v>74</v>
      </c>
      <c r="H232" s="94">
        <v>74.7</v>
      </c>
      <c r="I232" s="93">
        <v>20</v>
      </c>
      <c r="J232" s="93" t="s">
        <v>67</v>
      </c>
      <c r="K232" s="96" t="s">
        <v>210</v>
      </c>
    </row>
    <row r="233" spans="1:11" s="105" customFormat="1" x14ac:dyDescent="0.35">
      <c r="A233" s="104"/>
      <c r="B233" s="92" t="s">
        <v>37</v>
      </c>
      <c r="C233" s="93" t="s">
        <v>63</v>
      </c>
      <c r="D233" s="93" t="s">
        <v>89</v>
      </c>
      <c r="E233" s="93" t="s">
        <v>69</v>
      </c>
      <c r="F233" s="93"/>
      <c r="G233" s="93" t="s">
        <v>74</v>
      </c>
      <c r="H233" s="94">
        <v>75.8</v>
      </c>
      <c r="I233" s="93">
        <v>20</v>
      </c>
      <c r="J233" s="93" t="s">
        <v>67</v>
      </c>
      <c r="K233" s="96" t="s">
        <v>211</v>
      </c>
    </row>
    <row r="234" spans="1:11" x14ac:dyDescent="0.35">
      <c r="B234" s="27" t="s">
        <v>37</v>
      </c>
      <c r="C234" s="2" t="s">
        <v>63</v>
      </c>
      <c r="D234" s="2" t="s">
        <v>90</v>
      </c>
      <c r="E234" s="2" t="s">
        <v>65</v>
      </c>
      <c r="F234" s="2"/>
      <c r="G234" s="2" t="s">
        <v>66</v>
      </c>
      <c r="H234" s="68">
        <v>226.4</v>
      </c>
      <c r="I234" s="2">
        <v>20</v>
      </c>
      <c r="J234" s="2" t="s">
        <v>67</v>
      </c>
      <c r="K234" s="25" t="s">
        <v>212</v>
      </c>
    </row>
    <row r="235" spans="1:11" x14ac:dyDescent="0.35">
      <c r="A235" s="70"/>
      <c r="B235" s="27" t="s">
        <v>37</v>
      </c>
      <c r="C235" s="2" t="s">
        <v>63</v>
      </c>
      <c r="D235" s="2" t="s">
        <v>90</v>
      </c>
      <c r="E235" s="2" t="s">
        <v>69</v>
      </c>
      <c r="F235" s="2"/>
      <c r="G235" s="2" t="s">
        <v>66</v>
      </c>
      <c r="H235" s="68">
        <v>252.7</v>
      </c>
      <c r="I235" s="2">
        <v>20</v>
      </c>
      <c r="J235" s="2" t="s">
        <v>67</v>
      </c>
      <c r="K235" s="25" t="s">
        <v>213</v>
      </c>
    </row>
    <row r="236" spans="1:11" x14ac:dyDescent="0.35">
      <c r="B236" s="27" t="s">
        <v>37</v>
      </c>
      <c r="C236" s="2" t="s">
        <v>63</v>
      </c>
      <c r="D236" s="2" t="s">
        <v>90</v>
      </c>
      <c r="E236" s="2" t="s">
        <v>65</v>
      </c>
      <c r="F236" s="2"/>
      <c r="G236" s="2" t="s">
        <v>71</v>
      </c>
      <c r="H236" s="68">
        <v>79.5</v>
      </c>
      <c r="I236" s="2">
        <v>20</v>
      </c>
      <c r="J236" s="2" t="s">
        <v>67</v>
      </c>
      <c r="K236" s="25" t="s">
        <v>102</v>
      </c>
    </row>
    <row r="237" spans="1:11" x14ac:dyDescent="0.35">
      <c r="B237" s="27" t="s">
        <v>37</v>
      </c>
      <c r="C237" s="2" t="s">
        <v>63</v>
      </c>
      <c r="D237" s="2" t="s">
        <v>90</v>
      </c>
      <c r="E237" s="2" t="s">
        <v>69</v>
      </c>
      <c r="F237" s="2"/>
      <c r="G237" s="2" t="s">
        <v>71</v>
      </c>
      <c r="H237" s="68">
        <v>85.8</v>
      </c>
      <c r="I237" s="2">
        <v>20</v>
      </c>
      <c r="J237" s="2" t="s">
        <v>67</v>
      </c>
      <c r="K237" s="25" t="s">
        <v>103</v>
      </c>
    </row>
    <row r="238" spans="1:11" s="105" customFormat="1" x14ac:dyDescent="0.35">
      <c r="A238" s="104"/>
      <c r="B238" s="92" t="s">
        <v>37</v>
      </c>
      <c r="C238" s="93" t="s">
        <v>63</v>
      </c>
      <c r="D238" s="93" t="s">
        <v>90</v>
      </c>
      <c r="E238" s="93" t="s">
        <v>65</v>
      </c>
      <c r="F238" s="93"/>
      <c r="G238" s="93" t="s">
        <v>74</v>
      </c>
      <c r="H238" s="94">
        <v>49.8</v>
      </c>
      <c r="I238" s="93">
        <v>20</v>
      </c>
      <c r="J238" s="93" t="s">
        <v>67</v>
      </c>
      <c r="K238" s="96" t="s">
        <v>214</v>
      </c>
    </row>
    <row r="239" spans="1:11" s="105" customFormat="1" x14ac:dyDescent="0.35">
      <c r="A239" s="104"/>
      <c r="B239" s="92" t="s">
        <v>37</v>
      </c>
      <c r="C239" s="93" t="s">
        <v>63</v>
      </c>
      <c r="D239" s="93" t="s">
        <v>90</v>
      </c>
      <c r="E239" s="93" t="s">
        <v>69</v>
      </c>
      <c r="F239" s="93"/>
      <c r="G239" s="93" t="s">
        <v>74</v>
      </c>
      <c r="H239" s="94">
        <v>50.2</v>
      </c>
      <c r="I239" s="93">
        <v>20</v>
      </c>
      <c r="J239" s="93" t="s">
        <v>67</v>
      </c>
      <c r="K239" s="96" t="s">
        <v>215</v>
      </c>
    </row>
    <row r="240" spans="1:11" x14ac:dyDescent="0.35">
      <c r="B240" s="27" t="s">
        <v>37</v>
      </c>
      <c r="C240" s="2" t="s">
        <v>63</v>
      </c>
      <c r="D240" s="2" t="s">
        <v>91</v>
      </c>
      <c r="E240" s="2" t="s">
        <v>65</v>
      </c>
      <c r="F240" s="2"/>
      <c r="G240" s="2" t="s">
        <v>66</v>
      </c>
      <c r="H240" s="68">
        <v>87.4</v>
      </c>
      <c r="I240" s="2">
        <v>40</v>
      </c>
      <c r="J240" s="2" t="s">
        <v>67</v>
      </c>
      <c r="K240" s="25" t="s">
        <v>208</v>
      </c>
    </row>
    <row r="241" spans="1:13" x14ac:dyDescent="0.35">
      <c r="B241" s="27" t="s">
        <v>37</v>
      </c>
      <c r="C241" s="2" t="s">
        <v>63</v>
      </c>
      <c r="D241" s="2" t="s">
        <v>91</v>
      </c>
      <c r="E241" s="2" t="s">
        <v>69</v>
      </c>
      <c r="F241" s="2"/>
      <c r="G241" s="2" t="s">
        <v>66</v>
      </c>
      <c r="H241" s="68">
        <v>98.8</v>
      </c>
      <c r="I241" s="2">
        <v>40</v>
      </c>
      <c r="J241" s="2" t="s">
        <v>67</v>
      </c>
      <c r="K241" s="25" t="s">
        <v>209</v>
      </c>
    </row>
    <row r="242" spans="1:13" x14ac:dyDescent="0.35">
      <c r="B242" s="27" t="s">
        <v>37</v>
      </c>
      <c r="C242" s="2" t="s">
        <v>63</v>
      </c>
      <c r="D242" s="2" t="s">
        <v>91</v>
      </c>
      <c r="E242" s="2" t="s">
        <v>65</v>
      </c>
      <c r="F242" s="2"/>
      <c r="G242" s="2" t="s">
        <v>71</v>
      </c>
      <c r="H242" s="68">
        <v>46.9</v>
      </c>
      <c r="I242" s="2">
        <v>40</v>
      </c>
      <c r="J242" s="2" t="s">
        <v>67</v>
      </c>
      <c r="K242" s="25" t="s">
        <v>98</v>
      </c>
    </row>
    <row r="243" spans="1:13" x14ac:dyDescent="0.35">
      <c r="B243" s="27" t="s">
        <v>37</v>
      </c>
      <c r="C243" s="2" t="s">
        <v>63</v>
      </c>
      <c r="D243" s="2" t="s">
        <v>91</v>
      </c>
      <c r="E243" s="2" t="s">
        <v>69</v>
      </c>
      <c r="F243" s="2"/>
      <c r="G243" s="2" t="s">
        <v>71</v>
      </c>
      <c r="H243" s="68">
        <v>50.4</v>
      </c>
      <c r="I243" s="2">
        <v>40</v>
      </c>
      <c r="J243" s="2" t="s">
        <v>67</v>
      </c>
      <c r="K243" s="25" t="s">
        <v>99</v>
      </c>
    </row>
    <row r="244" spans="1:13" s="105" customFormat="1" x14ac:dyDescent="0.35">
      <c r="A244" s="104"/>
      <c r="B244" s="92" t="s">
        <v>37</v>
      </c>
      <c r="C244" s="93" t="s">
        <v>63</v>
      </c>
      <c r="D244" s="93" t="s">
        <v>91</v>
      </c>
      <c r="E244" s="93" t="s">
        <v>65</v>
      </c>
      <c r="F244" s="93"/>
      <c r="G244" s="93" t="s">
        <v>74</v>
      </c>
      <c r="H244" s="94">
        <v>30.4</v>
      </c>
      <c r="I244" s="93">
        <v>40</v>
      </c>
      <c r="J244" s="93" t="s">
        <v>67</v>
      </c>
      <c r="K244" s="96" t="s">
        <v>210</v>
      </c>
    </row>
    <row r="245" spans="1:13" s="105" customFormat="1" x14ac:dyDescent="0.35">
      <c r="A245" s="104"/>
      <c r="B245" s="92" t="s">
        <v>37</v>
      </c>
      <c r="C245" s="93" t="s">
        <v>63</v>
      </c>
      <c r="D245" s="93" t="s">
        <v>91</v>
      </c>
      <c r="E245" s="93" t="s">
        <v>69</v>
      </c>
      <c r="F245" s="93"/>
      <c r="G245" s="93" t="s">
        <v>74</v>
      </c>
      <c r="H245" s="94">
        <v>31.1</v>
      </c>
      <c r="I245" s="93">
        <v>40</v>
      </c>
      <c r="J245" s="93" t="s">
        <v>67</v>
      </c>
      <c r="K245" s="96" t="s">
        <v>211</v>
      </c>
    </row>
    <row r="246" spans="1:13" ht="15.5" x14ac:dyDescent="0.35">
      <c r="A246" s="67" t="s">
        <v>40</v>
      </c>
      <c r="B246" s="30"/>
      <c r="C246" s="34"/>
      <c r="D246" s="14"/>
      <c r="E246" s="26"/>
      <c r="F246" s="16"/>
      <c r="G246" s="16"/>
      <c r="H246" s="16"/>
      <c r="I246" s="17"/>
      <c r="J246" s="17"/>
      <c r="K246" s="18"/>
    </row>
    <row r="247" spans="1:13" x14ac:dyDescent="0.35">
      <c r="B247" s="27" t="s">
        <v>40</v>
      </c>
      <c r="C247" s="2" t="s">
        <v>63</v>
      </c>
      <c r="D247" s="2" t="s">
        <v>64</v>
      </c>
      <c r="E247" s="2" t="s">
        <v>69</v>
      </c>
      <c r="F247" s="2"/>
      <c r="G247" s="2" t="s">
        <v>66</v>
      </c>
      <c r="H247" s="2">
        <v>384</v>
      </c>
      <c r="I247" s="2">
        <v>1</v>
      </c>
      <c r="J247" s="2" t="s">
        <v>67</v>
      </c>
      <c r="K247" s="25" t="s">
        <v>104</v>
      </c>
    </row>
    <row r="248" spans="1:13" x14ac:dyDescent="0.35">
      <c r="B248" s="27" t="s">
        <v>40</v>
      </c>
      <c r="C248" s="2" t="s">
        <v>63</v>
      </c>
      <c r="D248" s="2" t="s">
        <v>64</v>
      </c>
      <c r="E248" s="2" t="s">
        <v>65</v>
      </c>
      <c r="F248" s="2"/>
      <c r="G248" s="2" t="s">
        <v>66</v>
      </c>
      <c r="H248" s="2">
        <v>355</v>
      </c>
      <c r="I248" s="2">
        <v>1</v>
      </c>
      <c r="J248" s="2" t="s">
        <v>67</v>
      </c>
      <c r="K248" s="25" t="s">
        <v>105</v>
      </c>
    </row>
    <row r="249" spans="1:13" x14ac:dyDescent="0.35">
      <c r="B249" s="27" t="s">
        <v>40</v>
      </c>
      <c r="C249" s="2" t="s">
        <v>63</v>
      </c>
      <c r="D249" s="2" t="s">
        <v>64</v>
      </c>
      <c r="E249" s="2" t="s">
        <v>69</v>
      </c>
      <c r="F249" s="2"/>
      <c r="G249" s="2" t="s">
        <v>71</v>
      </c>
      <c r="H249" s="2">
        <v>135</v>
      </c>
      <c r="I249" s="2">
        <v>1</v>
      </c>
      <c r="J249" s="2" t="s">
        <v>67</v>
      </c>
      <c r="K249" s="25" t="s">
        <v>106</v>
      </c>
    </row>
    <row r="250" spans="1:13" x14ac:dyDescent="0.35">
      <c r="B250" s="27" t="s">
        <v>40</v>
      </c>
      <c r="C250" s="2" t="s">
        <v>63</v>
      </c>
      <c r="D250" s="2" t="s">
        <v>64</v>
      </c>
      <c r="E250" s="2" t="s">
        <v>65</v>
      </c>
      <c r="F250" s="2"/>
      <c r="G250" s="2" t="s">
        <v>71</v>
      </c>
      <c r="H250" s="2">
        <v>123</v>
      </c>
      <c r="I250" s="2">
        <v>1</v>
      </c>
      <c r="J250" s="2" t="s">
        <v>67</v>
      </c>
      <c r="K250" s="25" t="s">
        <v>107</v>
      </c>
    </row>
    <row r="251" spans="1:13" x14ac:dyDescent="0.35">
      <c r="B251" s="27" t="s">
        <v>40</v>
      </c>
      <c r="C251" s="2" t="s">
        <v>63</v>
      </c>
      <c r="D251" s="2" t="s">
        <v>75</v>
      </c>
      <c r="E251" s="2" t="s">
        <v>69</v>
      </c>
      <c r="F251" s="2"/>
      <c r="G251" s="2" t="s">
        <v>66</v>
      </c>
      <c r="H251" s="2">
        <v>327</v>
      </c>
      <c r="I251" s="2">
        <v>50</v>
      </c>
      <c r="J251" s="2" t="s">
        <v>67</v>
      </c>
      <c r="K251" s="64" t="s">
        <v>108</v>
      </c>
    </row>
    <row r="252" spans="1:13" x14ac:dyDescent="0.35">
      <c r="B252" s="27" t="s">
        <v>40</v>
      </c>
      <c r="C252" s="2" t="s">
        <v>63</v>
      </c>
      <c r="D252" s="2" t="s">
        <v>75</v>
      </c>
      <c r="E252" s="2" t="s">
        <v>65</v>
      </c>
      <c r="F252" s="2"/>
      <c r="G252" s="2" t="s">
        <v>66</v>
      </c>
      <c r="H252" s="2">
        <v>291</v>
      </c>
      <c r="I252" s="2">
        <v>50</v>
      </c>
      <c r="J252" s="2" t="s">
        <v>67</v>
      </c>
      <c r="K252" s="64" t="s">
        <v>109</v>
      </c>
    </row>
    <row r="253" spans="1:13" x14ac:dyDescent="0.35">
      <c r="B253" s="27" t="s">
        <v>40</v>
      </c>
      <c r="C253" s="2" t="s">
        <v>63</v>
      </c>
      <c r="D253" s="2" t="s">
        <v>75</v>
      </c>
      <c r="E253" s="2" t="s">
        <v>69</v>
      </c>
      <c r="F253" s="2"/>
      <c r="G253" s="2" t="s">
        <v>71</v>
      </c>
      <c r="H253" s="2">
        <v>71</v>
      </c>
      <c r="I253" s="2">
        <v>50</v>
      </c>
      <c r="J253" s="2" t="s">
        <v>67</v>
      </c>
      <c r="K253" s="64" t="s">
        <v>110</v>
      </c>
    </row>
    <row r="254" spans="1:13" x14ac:dyDescent="0.35">
      <c r="B254" s="27" t="s">
        <v>40</v>
      </c>
      <c r="C254" s="2" t="s">
        <v>63</v>
      </c>
      <c r="D254" s="2" t="s">
        <v>75</v>
      </c>
      <c r="E254" s="2" t="s">
        <v>65</v>
      </c>
      <c r="F254" s="2"/>
      <c r="G254" s="2" t="s">
        <v>71</v>
      </c>
      <c r="H254" s="2">
        <v>64</v>
      </c>
      <c r="I254" s="2">
        <v>50</v>
      </c>
      <c r="J254" s="2" t="s">
        <v>67</v>
      </c>
      <c r="K254" s="64" t="s">
        <v>111</v>
      </c>
    </row>
    <row r="255" spans="1:13" ht="15.5" x14ac:dyDescent="0.35">
      <c r="B255" s="27" t="s">
        <v>40</v>
      </c>
      <c r="C255" s="2" t="s">
        <v>63</v>
      </c>
      <c r="D255" s="2" t="s">
        <v>85</v>
      </c>
      <c r="E255" s="2" t="s">
        <v>69</v>
      </c>
      <c r="F255" s="2"/>
      <c r="G255" s="2" t="s">
        <v>66</v>
      </c>
      <c r="H255" s="2">
        <v>110</v>
      </c>
      <c r="I255" s="2">
        <v>100</v>
      </c>
      <c r="J255" s="2" t="s">
        <v>67</v>
      </c>
      <c r="K255" s="64" t="s">
        <v>108</v>
      </c>
      <c r="M255" s="65"/>
    </row>
    <row r="256" spans="1:13" ht="15.5" x14ac:dyDescent="0.35">
      <c r="B256" s="27" t="s">
        <v>40</v>
      </c>
      <c r="C256" s="2" t="s">
        <v>63</v>
      </c>
      <c r="D256" s="2" t="s">
        <v>85</v>
      </c>
      <c r="E256" s="2" t="s">
        <v>65</v>
      </c>
      <c r="F256" s="2"/>
      <c r="G256" s="2" t="s">
        <v>66</v>
      </c>
      <c r="H256" s="2">
        <v>98</v>
      </c>
      <c r="I256" s="2">
        <v>100</v>
      </c>
      <c r="J256" s="2" t="s">
        <v>67</v>
      </c>
      <c r="K256" s="64" t="s">
        <v>109</v>
      </c>
      <c r="M256" s="65"/>
    </row>
    <row r="257" spans="2:13" ht="15.5" x14ac:dyDescent="0.35">
      <c r="B257" s="27" t="s">
        <v>40</v>
      </c>
      <c r="C257" s="2" t="s">
        <v>63</v>
      </c>
      <c r="D257" s="2" t="s">
        <v>85</v>
      </c>
      <c r="E257" s="2" t="s">
        <v>69</v>
      </c>
      <c r="F257" s="2"/>
      <c r="G257" s="2" t="s">
        <v>71</v>
      </c>
      <c r="H257" s="2">
        <v>61</v>
      </c>
      <c r="I257" s="2">
        <v>100</v>
      </c>
      <c r="J257" s="2" t="s">
        <v>67</v>
      </c>
      <c r="K257" s="64" t="s">
        <v>110</v>
      </c>
      <c r="M257" s="65"/>
    </row>
    <row r="258" spans="2:13" ht="15.5" x14ac:dyDescent="0.35">
      <c r="B258" s="27" t="s">
        <v>40</v>
      </c>
      <c r="C258" s="2" t="s">
        <v>63</v>
      </c>
      <c r="D258" s="2" t="s">
        <v>85</v>
      </c>
      <c r="E258" s="2" t="s">
        <v>65</v>
      </c>
      <c r="F258" s="2"/>
      <c r="G258" s="2" t="s">
        <v>71</v>
      </c>
      <c r="H258" s="2">
        <v>50</v>
      </c>
      <c r="I258" s="2">
        <v>100</v>
      </c>
      <c r="J258" s="2" t="s">
        <v>67</v>
      </c>
      <c r="K258" s="64" t="s">
        <v>111</v>
      </c>
      <c r="M258" s="65"/>
    </row>
    <row r="259" spans="2:13" x14ac:dyDescent="0.35">
      <c r="B259" s="27" t="s">
        <v>40</v>
      </c>
      <c r="C259" s="2" t="s">
        <v>112</v>
      </c>
      <c r="D259" s="2" t="s">
        <v>113</v>
      </c>
      <c r="E259" s="2" t="s">
        <v>69</v>
      </c>
      <c r="F259" s="2"/>
      <c r="G259" s="2" t="s">
        <v>113</v>
      </c>
      <c r="H259" s="63">
        <v>15.01</v>
      </c>
      <c r="I259" s="63">
        <v>1.1399999999999999</v>
      </c>
      <c r="J259" s="2" t="s">
        <v>114</v>
      </c>
      <c r="K259" s="25" t="s">
        <v>115</v>
      </c>
    </row>
    <row r="260" spans="2:13" x14ac:dyDescent="0.35">
      <c r="B260" s="27" t="s">
        <v>40</v>
      </c>
      <c r="C260" s="2" t="s">
        <v>112</v>
      </c>
      <c r="D260" s="2" t="s">
        <v>113</v>
      </c>
      <c r="E260" s="2" t="s">
        <v>69</v>
      </c>
      <c r="F260" s="2"/>
      <c r="G260" s="2" t="s">
        <v>113</v>
      </c>
      <c r="H260" s="63">
        <v>14.15</v>
      </c>
      <c r="I260" s="63">
        <v>2.6399999999999997</v>
      </c>
      <c r="J260" s="2" t="s">
        <v>114</v>
      </c>
      <c r="K260" s="25" t="s">
        <v>115</v>
      </c>
    </row>
    <row r="261" spans="2:13" x14ac:dyDescent="0.35">
      <c r="B261" s="27" t="s">
        <v>40</v>
      </c>
      <c r="C261" s="2" t="s">
        <v>112</v>
      </c>
      <c r="D261" s="2" t="s">
        <v>113</v>
      </c>
      <c r="E261" s="2" t="s">
        <v>69</v>
      </c>
      <c r="F261" s="2"/>
      <c r="G261" s="2" t="s">
        <v>113</v>
      </c>
      <c r="H261" s="63">
        <v>13.299999999999999</v>
      </c>
      <c r="I261" s="63">
        <v>5.88</v>
      </c>
      <c r="J261" s="2" t="s">
        <v>114</v>
      </c>
      <c r="K261" s="25" t="s">
        <v>115</v>
      </c>
    </row>
    <row r="262" spans="2:13" x14ac:dyDescent="0.35">
      <c r="B262" s="27" t="s">
        <v>40</v>
      </c>
      <c r="C262" s="2" t="s">
        <v>112</v>
      </c>
      <c r="D262" s="2" t="s">
        <v>113</v>
      </c>
      <c r="E262" s="2" t="s">
        <v>69</v>
      </c>
      <c r="F262" s="2"/>
      <c r="G262" s="2" t="s">
        <v>113</v>
      </c>
      <c r="H262" s="63">
        <v>12.45</v>
      </c>
      <c r="I262" s="63">
        <v>12.65</v>
      </c>
      <c r="J262" s="2" t="s">
        <v>114</v>
      </c>
      <c r="K262" s="25" t="s">
        <v>115</v>
      </c>
    </row>
    <row r="263" spans="2:13" x14ac:dyDescent="0.35">
      <c r="B263" s="27" t="s">
        <v>40</v>
      </c>
      <c r="C263" s="2" t="s">
        <v>112</v>
      </c>
      <c r="D263" s="2" t="s">
        <v>113</v>
      </c>
      <c r="E263" s="2" t="s">
        <v>69</v>
      </c>
      <c r="F263" s="2"/>
      <c r="G263" s="2" t="s">
        <v>113</v>
      </c>
      <c r="H263" s="63">
        <v>11.6</v>
      </c>
      <c r="I263" s="63">
        <v>26.28</v>
      </c>
      <c r="J263" s="2" t="s">
        <v>114</v>
      </c>
      <c r="K263" s="25" t="s">
        <v>115</v>
      </c>
    </row>
    <row r="264" spans="2:13" x14ac:dyDescent="0.35">
      <c r="B264" s="27" t="s">
        <v>40</v>
      </c>
      <c r="C264" s="2" t="s">
        <v>112</v>
      </c>
      <c r="D264" s="2" t="s">
        <v>113</v>
      </c>
      <c r="E264" s="2" t="s">
        <v>69</v>
      </c>
      <c r="F264" s="2"/>
      <c r="G264" s="2" t="s">
        <v>113</v>
      </c>
      <c r="H264" s="63">
        <v>10.76</v>
      </c>
      <c r="I264" s="63">
        <v>52.809999999999995</v>
      </c>
      <c r="J264" s="2" t="s">
        <v>114</v>
      </c>
      <c r="K264" s="25" t="s">
        <v>115</v>
      </c>
    </row>
    <row r="265" spans="2:13" x14ac:dyDescent="0.35">
      <c r="B265" s="27" t="s">
        <v>40</v>
      </c>
      <c r="C265" s="2" t="s">
        <v>112</v>
      </c>
      <c r="D265" s="2" t="s">
        <v>113</v>
      </c>
      <c r="E265" s="2" t="s">
        <v>69</v>
      </c>
      <c r="F265" s="2"/>
      <c r="G265" s="2" t="s">
        <v>113</v>
      </c>
      <c r="H265" s="63">
        <v>9.92</v>
      </c>
      <c r="I265" s="63">
        <v>102.74000000000001</v>
      </c>
      <c r="J265" s="2" t="s">
        <v>114</v>
      </c>
      <c r="K265" s="25" t="s">
        <v>115</v>
      </c>
    </row>
    <row r="266" spans="2:13" x14ac:dyDescent="0.35">
      <c r="B266" s="27" t="s">
        <v>40</v>
      </c>
      <c r="C266" s="2" t="s">
        <v>112</v>
      </c>
      <c r="D266" s="2" t="s">
        <v>113</v>
      </c>
      <c r="E266" s="2" t="s">
        <v>69</v>
      </c>
      <c r="F266" s="2"/>
      <c r="G266" s="2" t="s">
        <v>113</v>
      </c>
      <c r="H266" s="63">
        <v>9.09</v>
      </c>
      <c r="I266" s="63">
        <v>193.5</v>
      </c>
      <c r="J266" s="2" t="s">
        <v>114</v>
      </c>
      <c r="K266" s="25" t="s">
        <v>115</v>
      </c>
    </row>
    <row r="267" spans="2:13" x14ac:dyDescent="0.35">
      <c r="B267" s="27" t="s">
        <v>40</v>
      </c>
      <c r="C267" s="2" t="s">
        <v>112</v>
      </c>
      <c r="D267" s="2" t="s">
        <v>113</v>
      </c>
      <c r="E267" s="2" t="s">
        <v>69</v>
      </c>
      <c r="F267" s="2"/>
      <c r="G267" s="2" t="s">
        <v>113</v>
      </c>
      <c r="H267" s="63">
        <v>8.2799999999999994</v>
      </c>
      <c r="I267" s="63">
        <v>354.99</v>
      </c>
      <c r="J267" s="2" t="s">
        <v>114</v>
      </c>
      <c r="K267" s="25" t="s">
        <v>115</v>
      </c>
    </row>
    <row r="268" spans="2:13" x14ac:dyDescent="0.35">
      <c r="B268" s="27" t="s">
        <v>40</v>
      </c>
      <c r="C268" s="2" t="s">
        <v>112</v>
      </c>
      <c r="D268" s="2" t="s">
        <v>113</v>
      </c>
      <c r="E268" s="2" t="s">
        <v>69</v>
      </c>
      <c r="F268" s="2"/>
      <c r="G268" s="2" t="s">
        <v>113</v>
      </c>
      <c r="H268" s="63">
        <v>7.4799999999999995</v>
      </c>
      <c r="I268" s="63">
        <v>630.05999999999995</v>
      </c>
      <c r="J268" s="2" t="s">
        <v>114</v>
      </c>
      <c r="K268" s="25" t="s">
        <v>115</v>
      </c>
    </row>
    <row r="269" spans="2:13" x14ac:dyDescent="0.35">
      <c r="B269" s="27" t="s">
        <v>40</v>
      </c>
      <c r="C269" s="2" t="s">
        <v>112</v>
      </c>
      <c r="D269" s="2" t="s">
        <v>113</v>
      </c>
      <c r="E269" s="2" t="s">
        <v>69</v>
      </c>
      <c r="F269" s="2"/>
      <c r="G269" s="2" t="s">
        <v>113</v>
      </c>
      <c r="H269" s="63">
        <v>6.67</v>
      </c>
      <c r="I269" s="63">
        <v>1087.27</v>
      </c>
      <c r="J269" s="2" t="s">
        <v>114</v>
      </c>
      <c r="K269" s="25" t="s">
        <v>115</v>
      </c>
    </row>
    <row r="270" spans="2:13" x14ac:dyDescent="0.35">
      <c r="B270" s="27" t="s">
        <v>40</v>
      </c>
      <c r="C270" s="2" t="s">
        <v>112</v>
      </c>
      <c r="D270" s="2" t="s">
        <v>113</v>
      </c>
      <c r="E270" s="2" t="s">
        <v>69</v>
      </c>
      <c r="F270" s="2"/>
      <c r="G270" s="2" t="s">
        <v>113</v>
      </c>
      <c r="H270" s="63">
        <v>5.87</v>
      </c>
      <c r="I270" s="63">
        <v>1823.27</v>
      </c>
      <c r="J270" s="2" t="s">
        <v>114</v>
      </c>
      <c r="K270" s="25" t="s">
        <v>115</v>
      </c>
    </row>
    <row r="271" spans="2:13" x14ac:dyDescent="0.35">
      <c r="B271" s="27" t="s">
        <v>40</v>
      </c>
      <c r="C271" s="2" t="s">
        <v>112</v>
      </c>
      <c r="D271" s="2" t="s">
        <v>113</v>
      </c>
      <c r="E271" s="2" t="s">
        <v>69</v>
      </c>
      <c r="F271" s="2"/>
      <c r="G271" s="2" t="s">
        <v>113</v>
      </c>
      <c r="H271" s="63">
        <v>5.0599999999999996</v>
      </c>
      <c r="I271" s="63">
        <v>2976.3700000000003</v>
      </c>
      <c r="J271" s="2" t="s">
        <v>114</v>
      </c>
      <c r="K271" s="25" t="s">
        <v>115</v>
      </c>
    </row>
    <row r="272" spans="2:13" x14ac:dyDescent="0.35">
      <c r="B272" s="27" t="s">
        <v>40</v>
      </c>
      <c r="C272" s="2" t="s">
        <v>112</v>
      </c>
      <c r="D272" s="2" t="s">
        <v>113</v>
      </c>
      <c r="E272" s="2" t="s">
        <v>69</v>
      </c>
      <c r="F272" s="2"/>
      <c r="G272" s="2" t="s">
        <v>113</v>
      </c>
      <c r="H272" s="63">
        <v>4.26</v>
      </c>
      <c r="I272" s="63">
        <v>4739.38</v>
      </c>
      <c r="J272" s="2" t="s">
        <v>114</v>
      </c>
      <c r="K272" s="25" t="s">
        <v>115</v>
      </c>
    </row>
    <row r="273" spans="2:11" x14ac:dyDescent="0.35">
      <c r="B273" s="27" t="s">
        <v>40</v>
      </c>
      <c r="C273" s="2" t="s">
        <v>112</v>
      </c>
      <c r="D273" s="2" t="s">
        <v>113</v>
      </c>
      <c r="E273" s="2" t="s">
        <v>69</v>
      </c>
      <c r="F273" s="2"/>
      <c r="G273" s="2" t="s">
        <v>113</v>
      </c>
      <c r="H273" s="63">
        <v>3.46</v>
      </c>
      <c r="I273" s="63">
        <v>7331.0300000000007</v>
      </c>
      <c r="J273" s="2" t="s">
        <v>114</v>
      </c>
      <c r="K273" s="25" t="s">
        <v>115</v>
      </c>
    </row>
    <row r="274" spans="2:11" x14ac:dyDescent="0.35">
      <c r="B274" s="27" t="s">
        <v>40</v>
      </c>
      <c r="C274" s="2" t="s">
        <v>112</v>
      </c>
      <c r="D274" s="2" t="s">
        <v>113</v>
      </c>
      <c r="E274" s="2" t="s">
        <v>69</v>
      </c>
      <c r="F274" s="2"/>
      <c r="G274" s="2" t="s">
        <v>113</v>
      </c>
      <c r="H274" s="63">
        <v>2.65</v>
      </c>
      <c r="I274" s="63">
        <v>11078.710000000001</v>
      </c>
      <c r="J274" s="2" t="s">
        <v>114</v>
      </c>
      <c r="K274" s="25" t="s">
        <v>115</v>
      </c>
    </row>
    <row r="275" spans="2:11" x14ac:dyDescent="0.35">
      <c r="B275" s="27" t="s">
        <v>40</v>
      </c>
      <c r="C275" s="2" t="s">
        <v>112</v>
      </c>
      <c r="D275" s="2" t="s">
        <v>113</v>
      </c>
      <c r="E275" s="2" t="s">
        <v>69</v>
      </c>
      <c r="F275" s="2"/>
      <c r="G275" s="2" t="s">
        <v>113</v>
      </c>
      <c r="H275" s="63">
        <v>1.85</v>
      </c>
      <c r="I275" s="63">
        <v>16342.9</v>
      </c>
      <c r="J275" s="2" t="s">
        <v>114</v>
      </c>
      <c r="K275" s="25" t="s">
        <v>115</v>
      </c>
    </row>
    <row r="276" spans="2:11" x14ac:dyDescent="0.35">
      <c r="B276" s="27" t="s">
        <v>40</v>
      </c>
      <c r="C276" s="2" t="s">
        <v>112</v>
      </c>
      <c r="D276" s="2" t="s">
        <v>113</v>
      </c>
      <c r="E276" s="2" t="s">
        <v>69</v>
      </c>
      <c r="F276" s="2"/>
      <c r="G276" s="2" t="s">
        <v>113</v>
      </c>
      <c r="H276" s="63">
        <v>1.04</v>
      </c>
      <c r="I276" s="63">
        <v>23551.579999999998</v>
      </c>
      <c r="J276" s="2" t="s">
        <v>114</v>
      </c>
      <c r="K276" s="25" t="s">
        <v>115</v>
      </c>
    </row>
    <row r="277" spans="2:11" x14ac:dyDescent="0.35">
      <c r="B277" s="27" t="s">
        <v>40</v>
      </c>
      <c r="C277" s="2" t="s">
        <v>112</v>
      </c>
      <c r="D277" s="2" t="s">
        <v>113</v>
      </c>
      <c r="E277" s="2" t="s">
        <v>69</v>
      </c>
      <c r="F277" s="2"/>
      <c r="G277" s="2" t="s">
        <v>113</v>
      </c>
      <c r="H277" s="63">
        <v>0.24000000000000002</v>
      </c>
      <c r="I277" s="63">
        <v>33181.1</v>
      </c>
      <c r="J277" s="2" t="s">
        <v>114</v>
      </c>
      <c r="K277" s="25" t="s">
        <v>115</v>
      </c>
    </row>
    <row r="278" spans="2:11" x14ac:dyDescent="0.35">
      <c r="B278" s="27" t="s">
        <v>40</v>
      </c>
      <c r="C278" s="2" t="s">
        <v>112</v>
      </c>
      <c r="D278" s="2" t="s">
        <v>113</v>
      </c>
      <c r="E278" s="2" t="s">
        <v>116</v>
      </c>
      <c r="F278" s="2"/>
      <c r="G278" s="2" t="s">
        <v>113</v>
      </c>
      <c r="H278" s="63">
        <v>11.73</v>
      </c>
      <c r="I278" s="63">
        <v>1.1399999999999999</v>
      </c>
      <c r="J278" s="2" t="s">
        <v>114</v>
      </c>
      <c r="K278" s="25" t="s">
        <v>117</v>
      </c>
    </row>
    <row r="279" spans="2:11" x14ac:dyDescent="0.35">
      <c r="B279" s="27" t="s">
        <v>40</v>
      </c>
      <c r="C279" s="2" t="s">
        <v>112</v>
      </c>
      <c r="D279" s="2" t="s">
        <v>113</v>
      </c>
      <c r="E279" s="2" t="s">
        <v>116</v>
      </c>
      <c r="F279" s="2"/>
      <c r="G279" s="2" t="s">
        <v>113</v>
      </c>
      <c r="H279" s="63">
        <v>11.049999999999999</v>
      </c>
      <c r="I279" s="63">
        <v>2.6399999999999997</v>
      </c>
      <c r="J279" s="2" t="s">
        <v>114</v>
      </c>
      <c r="K279" s="25" t="s">
        <v>117</v>
      </c>
    </row>
    <row r="280" spans="2:11" x14ac:dyDescent="0.35">
      <c r="B280" s="27" t="s">
        <v>40</v>
      </c>
      <c r="C280" s="2" t="s">
        <v>112</v>
      </c>
      <c r="D280" s="2" t="s">
        <v>113</v>
      </c>
      <c r="E280" s="2" t="s">
        <v>116</v>
      </c>
      <c r="F280" s="2"/>
      <c r="G280" s="2" t="s">
        <v>113</v>
      </c>
      <c r="H280" s="63">
        <v>10.39</v>
      </c>
      <c r="I280" s="63">
        <v>5.88</v>
      </c>
      <c r="J280" s="2" t="s">
        <v>114</v>
      </c>
      <c r="K280" s="25" t="s">
        <v>117</v>
      </c>
    </row>
    <row r="281" spans="2:11" x14ac:dyDescent="0.35">
      <c r="B281" s="27" t="s">
        <v>40</v>
      </c>
      <c r="C281" s="2" t="s">
        <v>112</v>
      </c>
      <c r="D281" s="2" t="s">
        <v>113</v>
      </c>
      <c r="E281" s="2" t="s">
        <v>116</v>
      </c>
      <c r="F281" s="2"/>
      <c r="G281" s="2" t="s">
        <v>113</v>
      </c>
      <c r="H281" s="63">
        <v>9.7200000000000006</v>
      </c>
      <c r="I281" s="63">
        <v>12.65</v>
      </c>
      <c r="J281" s="2" t="s">
        <v>114</v>
      </c>
      <c r="K281" s="25" t="s">
        <v>117</v>
      </c>
    </row>
    <row r="282" spans="2:11" x14ac:dyDescent="0.35">
      <c r="B282" s="27" t="s">
        <v>40</v>
      </c>
      <c r="C282" s="2" t="s">
        <v>112</v>
      </c>
      <c r="D282" s="2" t="s">
        <v>113</v>
      </c>
      <c r="E282" s="2" t="s">
        <v>116</v>
      </c>
      <c r="F282" s="2"/>
      <c r="G282" s="2" t="s">
        <v>113</v>
      </c>
      <c r="H282" s="63">
        <v>9.06</v>
      </c>
      <c r="I282" s="63">
        <v>26.28</v>
      </c>
      <c r="J282" s="2" t="s">
        <v>114</v>
      </c>
      <c r="K282" s="25" t="s">
        <v>117</v>
      </c>
    </row>
    <row r="283" spans="2:11" x14ac:dyDescent="0.35">
      <c r="B283" s="27" t="s">
        <v>40</v>
      </c>
      <c r="C283" s="2" t="s">
        <v>112</v>
      </c>
      <c r="D283" s="2" t="s">
        <v>113</v>
      </c>
      <c r="E283" s="2" t="s">
        <v>116</v>
      </c>
      <c r="F283" s="2"/>
      <c r="G283" s="2" t="s">
        <v>113</v>
      </c>
      <c r="H283" s="63">
        <v>8.4</v>
      </c>
      <c r="I283" s="63">
        <v>52.809999999999995</v>
      </c>
      <c r="J283" s="2" t="s">
        <v>114</v>
      </c>
      <c r="K283" s="25" t="s">
        <v>117</v>
      </c>
    </row>
    <row r="284" spans="2:11" x14ac:dyDescent="0.35">
      <c r="B284" s="27" t="s">
        <v>40</v>
      </c>
      <c r="C284" s="2" t="s">
        <v>112</v>
      </c>
      <c r="D284" s="2" t="s">
        <v>113</v>
      </c>
      <c r="E284" s="2" t="s">
        <v>116</v>
      </c>
      <c r="F284" s="2"/>
      <c r="G284" s="2" t="s">
        <v>113</v>
      </c>
      <c r="H284" s="63">
        <v>7.75</v>
      </c>
      <c r="I284" s="63">
        <v>102.74000000000001</v>
      </c>
      <c r="J284" s="2" t="s">
        <v>114</v>
      </c>
      <c r="K284" s="25" t="s">
        <v>117</v>
      </c>
    </row>
    <row r="285" spans="2:11" x14ac:dyDescent="0.35">
      <c r="B285" s="27" t="s">
        <v>40</v>
      </c>
      <c r="C285" s="2" t="s">
        <v>112</v>
      </c>
      <c r="D285" s="2" t="s">
        <v>113</v>
      </c>
      <c r="E285" s="2" t="s">
        <v>116</v>
      </c>
      <c r="F285" s="2"/>
      <c r="G285" s="2" t="s">
        <v>113</v>
      </c>
      <c r="H285" s="63">
        <v>7.1</v>
      </c>
      <c r="I285" s="63">
        <v>193.5</v>
      </c>
      <c r="J285" s="2" t="s">
        <v>114</v>
      </c>
      <c r="K285" s="25" t="s">
        <v>117</v>
      </c>
    </row>
    <row r="286" spans="2:11" x14ac:dyDescent="0.35">
      <c r="B286" s="27" t="s">
        <v>40</v>
      </c>
      <c r="C286" s="2" t="s">
        <v>112</v>
      </c>
      <c r="D286" s="2" t="s">
        <v>113</v>
      </c>
      <c r="E286" s="2" t="s">
        <v>116</v>
      </c>
      <c r="F286" s="2"/>
      <c r="G286" s="2" t="s">
        <v>113</v>
      </c>
      <c r="H286" s="63">
        <v>6.47</v>
      </c>
      <c r="I286" s="63">
        <v>354.99</v>
      </c>
      <c r="J286" s="2" t="s">
        <v>114</v>
      </c>
      <c r="K286" s="25" t="s">
        <v>117</v>
      </c>
    </row>
    <row r="287" spans="2:11" x14ac:dyDescent="0.35">
      <c r="B287" s="27" t="s">
        <v>40</v>
      </c>
      <c r="C287" s="2" t="s">
        <v>112</v>
      </c>
      <c r="D287" s="2" t="s">
        <v>113</v>
      </c>
      <c r="E287" s="2" t="s">
        <v>116</v>
      </c>
      <c r="F287" s="2"/>
      <c r="G287" s="2" t="s">
        <v>113</v>
      </c>
      <c r="H287" s="63">
        <v>5.84</v>
      </c>
      <c r="I287" s="63">
        <v>630.05999999999995</v>
      </c>
      <c r="J287" s="2" t="s">
        <v>114</v>
      </c>
      <c r="K287" s="25" t="s">
        <v>117</v>
      </c>
    </row>
    <row r="288" spans="2:11" x14ac:dyDescent="0.35">
      <c r="B288" s="27" t="s">
        <v>40</v>
      </c>
      <c r="C288" s="2" t="s">
        <v>112</v>
      </c>
      <c r="D288" s="2" t="s">
        <v>113</v>
      </c>
      <c r="E288" s="2" t="s">
        <v>116</v>
      </c>
      <c r="F288" s="2"/>
      <c r="G288" s="2" t="s">
        <v>113</v>
      </c>
      <c r="H288" s="63">
        <v>5.21</v>
      </c>
      <c r="I288" s="63">
        <v>1087.27</v>
      </c>
      <c r="J288" s="2" t="s">
        <v>114</v>
      </c>
      <c r="K288" s="25" t="s">
        <v>117</v>
      </c>
    </row>
    <row r="289" spans="1:11" x14ac:dyDescent="0.35">
      <c r="B289" s="27" t="s">
        <v>40</v>
      </c>
      <c r="C289" s="2" t="s">
        <v>112</v>
      </c>
      <c r="D289" s="2" t="s">
        <v>113</v>
      </c>
      <c r="E289" s="2" t="s">
        <v>116</v>
      </c>
      <c r="F289" s="2"/>
      <c r="G289" s="2" t="s">
        <v>113</v>
      </c>
      <c r="H289" s="63">
        <v>4.58</v>
      </c>
      <c r="I289" s="63">
        <v>1823.27</v>
      </c>
      <c r="J289" s="2" t="s">
        <v>114</v>
      </c>
      <c r="K289" s="25" t="s">
        <v>117</v>
      </c>
    </row>
    <row r="290" spans="1:11" x14ac:dyDescent="0.35">
      <c r="B290" s="27" t="s">
        <v>40</v>
      </c>
      <c r="C290" s="2" t="s">
        <v>112</v>
      </c>
      <c r="D290" s="2" t="s">
        <v>113</v>
      </c>
      <c r="E290" s="2" t="s">
        <v>116</v>
      </c>
      <c r="F290" s="2"/>
      <c r="G290" s="2" t="s">
        <v>113</v>
      </c>
      <c r="H290" s="63">
        <v>3.96</v>
      </c>
      <c r="I290" s="63">
        <v>2976.3700000000003</v>
      </c>
      <c r="J290" s="2" t="s">
        <v>114</v>
      </c>
      <c r="K290" s="25" t="s">
        <v>117</v>
      </c>
    </row>
    <row r="291" spans="1:11" x14ac:dyDescent="0.35">
      <c r="B291" s="27" t="s">
        <v>40</v>
      </c>
      <c r="C291" s="2" t="s">
        <v>112</v>
      </c>
      <c r="D291" s="2" t="s">
        <v>113</v>
      </c>
      <c r="E291" s="2" t="s">
        <v>116</v>
      </c>
      <c r="F291" s="2"/>
      <c r="G291" s="2" t="s">
        <v>113</v>
      </c>
      <c r="H291" s="63">
        <v>3.3299999999999996</v>
      </c>
      <c r="I291" s="63">
        <v>4739.38</v>
      </c>
      <c r="J291" s="2" t="s">
        <v>114</v>
      </c>
      <c r="K291" s="25" t="s">
        <v>117</v>
      </c>
    </row>
    <row r="292" spans="1:11" x14ac:dyDescent="0.35">
      <c r="B292" s="27" t="s">
        <v>40</v>
      </c>
      <c r="C292" s="2" t="s">
        <v>112</v>
      </c>
      <c r="D292" s="2" t="s">
        <v>113</v>
      </c>
      <c r="E292" s="2" t="s">
        <v>116</v>
      </c>
      <c r="F292" s="2"/>
      <c r="G292" s="2" t="s">
        <v>113</v>
      </c>
      <c r="H292" s="63">
        <v>2.6999999999999997</v>
      </c>
      <c r="I292" s="63">
        <v>7331.0300000000007</v>
      </c>
      <c r="J292" s="2" t="s">
        <v>114</v>
      </c>
      <c r="K292" s="25" t="s">
        <v>117</v>
      </c>
    </row>
    <row r="293" spans="1:11" x14ac:dyDescent="0.35">
      <c r="B293" s="27" t="s">
        <v>40</v>
      </c>
      <c r="C293" s="2" t="s">
        <v>112</v>
      </c>
      <c r="D293" s="2" t="s">
        <v>113</v>
      </c>
      <c r="E293" s="2" t="s">
        <v>116</v>
      </c>
      <c r="F293" s="2"/>
      <c r="G293" s="2" t="s">
        <v>113</v>
      </c>
      <c r="H293" s="63">
        <v>2.0699999999999998</v>
      </c>
      <c r="I293" s="63">
        <v>11078.710000000001</v>
      </c>
      <c r="J293" s="2" t="s">
        <v>114</v>
      </c>
      <c r="K293" s="25" t="s">
        <v>117</v>
      </c>
    </row>
    <row r="294" spans="1:11" x14ac:dyDescent="0.35">
      <c r="B294" s="27" t="s">
        <v>40</v>
      </c>
      <c r="C294" s="2" t="s">
        <v>112</v>
      </c>
      <c r="D294" s="2" t="s">
        <v>113</v>
      </c>
      <c r="E294" s="2" t="s">
        <v>116</v>
      </c>
      <c r="F294" s="2"/>
      <c r="G294" s="2" t="s">
        <v>113</v>
      </c>
      <c r="H294" s="63">
        <v>1.44</v>
      </c>
      <c r="I294" s="63">
        <v>16342.9</v>
      </c>
      <c r="J294" s="2" t="s">
        <v>114</v>
      </c>
      <c r="K294" s="25" t="s">
        <v>117</v>
      </c>
    </row>
    <row r="295" spans="1:11" x14ac:dyDescent="0.35">
      <c r="B295" s="27" t="s">
        <v>40</v>
      </c>
      <c r="C295" s="2" t="s">
        <v>112</v>
      </c>
      <c r="D295" s="2" t="s">
        <v>113</v>
      </c>
      <c r="E295" s="2" t="s">
        <v>116</v>
      </c>
      <c r="F295" s="2"/>
      <c r="G295" s="2" t="s">
        <v>113</v>
      </c>
      <c r="H295" s="63">
        <v>0.82000000000000006</v>
      </c>
      <c r="I295" s="63">
        <v>23551.579999999998</v>
      </c>
      <c r="J295" s="2" t="s">
        <v>114</v>
      </c>
      <c r="K295" s="25" t="s">
        <v>117</v>
      </c>
    </row>
    <row r="296" spans="1:11" x14ac:dyDescent="0.35">
      <c r="B296" s="27" t="s">
        <v>40</v>
      </c>
      <c r="C296" s="2" t="s">
        <v>112</v>
      </c>
      <c r="D296" s="2" t="s">
        <v>113</v>
      </c>
      <c r="E296" s="2" t="s">
        <v>116</v>
      </c>
      <c r="F296" s="2"/>
      <c r="G296" s="2" t="s">
        <v>113</v>
      </c>
      <c r="H296" s="63">
        <v>0.19</v>
      </c>
      <c r="I296" s="63">
        <v>33181.1</v>
      </c>
      <c r="J296" s="2" t="s">
        <v>114</v>
      </c>
      <c r="K296" s="25" t="s">
        <v>117</v>
      </c>
    </row>
    <row r="297" spans="1:11" ht="15.5" x14ac:dyDescent="0.35">
      <c r="A297" s="67" t="s">
        <v>45</v>
      </c>
      <c r="B297" s="31"/>
      <c r="C297" s="35"/>
      <c r="D297" s="14"/>
      <c r="E297" s="26"/>
      <c r="F297" s="16"/>
      <c r="G297" s="16"/>
      <c r="H297" s="16"/>
      <c r="I297" s="17"/>
      <c r="J297" s="17"/>
      <c r="K297" s="18"/>
    </row>
    <row r="298" spans="1:11" x14ac:dyDescent="0.35">
      <c r="B298" s="27" t="s">
        <v>45</v>
      </c>
      <c r="C298" s="2" t="s">
        <v>63</v>
      </c>
      <c r="D298" s="2" t="s">
        <v>64</v>
      </c>
      <c r="E298" s="2" t="s">
        <v>69</v>
      </c>
      <c r="F298" s="2"/>
      <c r="G298" s="2" t="s">
        <v>66</v>
      </c>
      <c r="H298" s="2">
        <v>456</v>
      </c>
      <c r="I298" s="2">
        <v>1</v>
      </c>
      <c r="J298" s="2" t="s">
        <v>67</v>
      </c>
      <c r="K298" s="25" t="s">
        <v>104</v>
      </c>
    </row>
    <row r="299" spans="1:11" x14ac:dyDescent="0.35">
      <c r="B299" s="27" t="s">
        <v>45</v>
      </c>
      <c r="C299" s="2" t="s">
        <v>63</v>
      </c>
      <c r="D299" s="2" t="s">
        <v>64</v>
      </c>
      <c r="E299" s="2" t="s">
        <v>65</v>
      </c>
      <c r="F299" s="2"/>
      <c r="G299" s="2" t="s">
        <v>66</v>
      </c>
      <c r="H299" s="2">
        <v>422</v>
      </c>
      <c r="I299" s="2">
        <v>1</v>
      </c>
      <c r="J299" s="2" t="s">
        <v>67</v>
      </c>
      <c r="K299" s="25" t="s">
        <v>105</v>
      </c>
    </row>
    <row r="300" spans="1:11" x14ac:dyDescent="0.35">
      <c r="B300" s="27" t="s">
        <v>45</v>
      </c>
      <c r="C300" s="2" t="s">
        <v>63</v>
      </c>
      <c r="D300" s="2" t="s">
        <v>64</v>
      </c>
      <c r="E300" s="2" t="s">
        <v>69</v>
      </c>
      <c r="F300" s="2"/>
      <c r="G300" s="2" t="s">
        <v>71</v>
      </c>
      <c r="H300" s="2">
        <v>195</v>
      </c>
      <c r="I300" s="2">
        <v>1</v>
      </c>
      <c r="J300" s="2" t="s">
        <v>67</v>
      </c>
      <c r="K300" s="25" t="s">
        <v>106</v>
      </c>
    </row>
    <row r="301" spans="1:11" x14ac:dyDescent="0.35">
      <c r="B301" s="27" t="s">
        <v>45</v>
      </c>
      <c r="C301" s="2" t="s">
        <v>63</v>
      </c>
      <c r="D301" s="2" t="s">
        <v>64</v>
      </c>
      <c r="E301" s="2" t="s">
        <v>65</v>
      </c>
      <c r="F301" s="2"/>
      <c r="G301" s="2" t="s">
        <v>71</v>
      </c>
      <c r="H301" s="2">
        <v>192</v>
      </c>
      <c r="I301" s="2">
        <v>1</v>
      </c>
      <c r="J301" s="2" t="s">
        <v>67</v>
      </c>
      <c r="K301" s="25" t="s">
        <v>107</v>
      </c>
    </row>
    <row r="302" spans="1:11" x14ac:dyDescent="0.35">
      <c r="B302" s="27" t="s">
        <v>45</v>
      </c>
      <c r="C302" s="2" t="s">
        <v>63</v>
      </c>
      <c r="D302" s="2" t="s">
        <v>75</v>
      </c>
      <c r="E302" s="2" t="s">
        <v>69</v>
      </c>
      <c r="F302" s="2"/>
      <c r="G302" s="2" t="s">
        <v>66</v>
      </c>
      <c r="H302" s="2">
        <v>298</v>
      </c>
      <c r="I302" s="2">
        <v>150</v>
      </c>
      <c r="J302" s="2" t="s">
        <v>67</v>
      </c>
      <c r="K302" s="25" t="s">
        <v>108</v>
      </c>
    </row>
    <row r="303" spans="1:11" x14ac:dyDescent="0.35">
      <c r="B303" s="27" t="s">
        <v>45</v>
      </c>
      <c r="C303" s="2" t="s">
        <v>63</v>
      </c>
      <c r="D303" s="2" t="s">
        <v>75</v>
      </c>
      <c r="E303" s="2" t="s">
        <v>65</v>
      </c>
      <c r="F303" s="2"/>
      <c r="G303" s="2" t="s">
        <v>66</v>
      </c>
      <c r="H303" s="2">
        <v>277</v>
      </c>
      <c r="I303" s="2">
        <v>150</v>
      </c>
      <c r="J303" s="2" t="s">
        <v>67</v>
      </c>
      <c r="K303" s="25" t="s">
        <v>109</v>
      </c>
    </row>
    <row r="304" spans="1:11" x14ac:dyDescent="0.35">
      <c r="B304" s="27" t="s">
        <v>45</v>
      </c>
      <c r="C304" s="2" t="s">
        <v>63</v>
      </c>
      <c r="D304" s="2" t="s">
        <v>75</v>
      </c>
      <c r="E304" s="2" t="s">
        <v>69</v>
      </c>
      <c r="F304" s="2"/>
      <c r="G304" s="2" t="s">
        <v>71</v>
      </c>
      <c r="H304" s="2">
        <v>100</v>
      </c>
      <c r="I304" s="2">
        <v>150</v>
      </c>
      <c r="J304" s="2" t="s">
        <v>67</v>
      </c>
      <c r="K304" s="25" t="s">
        <v>110</v>
      </c>
    </row>
    <row r="305" spans="1:11" x14ac:dyDescent="0.35">
      <c r="B305" s="27" t="s">
        <v>45</v>
      </c>
      <c r="C305" s="2" t="s">
        <v>63</v>
      </c>
      <c r="D305" s="2" t="s">
        <v>75</v>
      </c>
      <c r="E305" s="2" t="s">
        <v>65</v>
      </c>
      <c r="F305" s="2"/>
      <c r="G305" s="2" t="s">
        <v>71</v>
      </c>
      <c r="H305" s="2">
        <v>99</v>
      </c>
      <c r="I305" s="2">
        <v>150</v>
      </c>
      <c r="J305" s="2" t="s">
        <v>67</v>
      </c>
      <c r="K305" s="25" t="s">
        <v>111</v>
      </c>
    </row>
    <row r="306" spans="1:11" ht="15.5" x14ac:dyDescent="0.35">
      <c r="A306" s="67" t="s">
        <v>51</v>
      </c>
      <c r="B306" s="31"/>
      <c r="C306" s="35"/>
      <c r="D306" s="14"/>
      <c r="E306" s="26"/>
      <c r="F306" s="16"/>
      <c r="G306" s="16"/>
      <c r="H306" s="16"/>
      <c r="I306" s="17"/>
      <c r="J306" s="17"/>
      <c r="K306" s="18"/>
    </row>
    <row r="307" spans="1:11" ht="14.25" customHeight="1" x14ac:dyDescent="0.35">
      <c r="B307" s="27" t="s">
        <v>51</v>
      </c>
      <c r="C307" s="2" t="s">
        <v>63</v>
      </c>
      <c r="D307" s="2" t="s">
        <v>64</v>
      </c>
      <c r="E307" s="2" t="s">
        <v>69</v>
      </c>
      <c r="F307" s="2"/>
      <c r="G307" s="2" t="s">
        <v>66</v>
      </c>
      <c r="H307" s="2">
        <v>476</v>
      </c>
      <c r="I307" s="2">
        <v>1</v>
      </c>
      <c r="J307" s="2" t="s">
        <v>67</v>
      </c>
      <c r="K307" s="25" t="s">
        <v>118</v>
      </c>
    </row>
    <row r="308" spans="1:11" ht="14.25" customHeight="1" x14ac:dyDescent="0.35">
      <c r="B308" s="27" t="s">
        <v>51</v>
      </c>
      <c r="C308" s="2" t="s">
        <v>63</v>
      </c>
      <c r="D308" s="2" t="s">
        <v>64</v>
      </c>
      <c r="E308" s="2" t="s">
        <v>65</v>
      </c>
      <c r="F308" s="2"/>
      <c r="G308" s="2" t="s">
        <v>66</v>
      </c>
      <c r="H308" s="2">
        <v>439</v>
      </c>
      <c r="I308" s="2">
        <v>1</v>
      </c>
      <c r="J308" s="2" t="s">
        <v>67</v>
      </c>
      <c r="K308" s="25" t="s">
        <v>119</v>
      </c>
    </row>
    <row r="309" spans="1:11" ht="14.25" customHeight="1" x14ac:dyDescent="0.35">
      <c r="B309" s="27" t="s">
        <v>51</v>
      </c>
      <c r="C309" s="2" t="s">
        <v>63</v>
      </c>
      <c r="D309" s="2" t="s">
        <v>64</v>
      </c>
      <c r="E309" s="2" t="s">
        <v>69</v>
      </c>
      <c r="F309" s="2"/>
      <c r="G309" s="2" t="s">
        <v>71</v>
      </c>
      <c r="H309" s="2">
        <v>196</v>
      </c>
      <c r="I309" s="2">
        <v>1</v>
      </c>
      <c r="J309" s="2" t="s">
        <v>67</v>
      </c>
      <c r="K309" s="25" t="s">
        <v>120</v>
      </c>
    </row>
    <row r="310" spans="1:11" ht="14.25" customHeight="1" x14ac:dyDescent="0.35">
      <c r="B310" s="27" t="s">
        <v>51</v>
      </c>
      <c r="C310" s="2" t="s">
        <v>63</v>
      </c>
      <c r="D310" s="2" t="s">
        <v>64</v>
      </c>
      <c r="E310" s="2" t="s">
        <v>65</v>
      </c>
      <c r="F310" s="2"/>
      <c r="G310" s="2" t="s">
        <v>71</v>
      </c>
      <c r="H310" s="2">
        <v>193</v>
      </c>
      <c r="I310" s="2">
        <v>1</v>
      </c>
      <c r="J310" s="2" t="s">
        <v>67</v>
      </c>
      <c r="K310" s="25" t="s">
        <v>121</v>
      </c>
    </row>
    <row r="311" spans="1:11" x14ac:dyDescent="0.35">
      <c r="B311" s="27" t="s">
        <v>51</v>
      </c>
      <c r="C311" s="2" t="s">
        <v>63</v>
      </c>
      <c r="D311" s="2" t="s">
        <v>75</v>
      </c>
      <c r="E311" s="2" t="s">
        <v>69</v>
      </c>
      <c r="F311" s="2"/>
      <c r="G311" s="2" t="s">
        <v>66</v>
      </c>
      <c r="H311" s="2">
        <v>428</v>
      </c>
      <c r="I311" s="2">
        <v>150</v>
      </c>
      <c r="J311" s="2" t="s">
        <v>67</v>
      </c>
      <c r="K311" s="25" t="s">
        <v>122</v>
      </c>
    </row>
    <row r="312" spans="1:11" x14ac:dyDescent="0.35">
      <c r="B312" s="27" t="s">
        <v>51</v>
      </c>
      <c r="C312" s="2" t="s">
        <v>63</v>
      </c>
      <c r="D312" s="2" t="s">
        <v>75</v>
      </c>
      <c r="E312" s="2" t="s">
        <v>65</v>
      </c>
      <c r="F312" s="2"/>
      <c r="G312" s="2" t="s">
        <v>66</v>
      </c>
      <c r="H312" s="2">
        <v>393</v>
      </c>
      <c r="I312" s="2">
        <v>150</v>
      </c>
      <c r="J312" s="2" t="s">
        <v>67</v>
      </c>
      <c r="K312" s="25" t="s">
        <v>123</v>
      </c>
    </row>
    <row r="313" spans="1:11" x14ac:dyDescent="0.35">
      <c r="B313" s="27" t="s">
        <v>51</v>
      </c>
      <c r="C313" s="27" t="s">
        <v>63</v>
      </c>
      <c r="D313" s="2" t="s">
        <v>75</v>
      </c>
      <c r="E313" s="2" t="s">
        <v>69</v>
      </c>
      <c r="F313" s="2"/>
      <c r="G313" s="2" t="s">
        <v>71</v>
      </c>
      <c r="H313" s="2">
        <v>116</v>
      </c>
      <c r="I313" s="2">
        <v>150</v>
      </c>
      <c r="J313" s="2" t="s">
        <v>67</v>
      </c>
      <c r="K313" s="25" t="s">
        <v>124</v>
      </c>
    </row>
    <row r="314" spans="1:11" x14ac:dyDescent="0.35">
      <c r="B314" s="27" t="s">
        <v>51</v>
      </c>
      <c r="C314" s="27" t="s">
        <v>63</v>
      </c>
      <c r="D314" s="2" t="s">
        <v>75</v>
      </c>
      <c r="E314" s="2" t="s">
        <v>65</v>
      </c>
      <c r="F314" s="2"/>
      <c r="G314" s="2" t="s">
        <v>71</v>
      </c>
      <c r="H314" s="2">
        <v>112</v>
      </c>
      <c r="I314" s="2">
        <v>150</v>
      </c>
      <c r="J314" s="2" t="s">
        <v>67</v>
      </c>
      <c r="K314" s="25" t="s">
        <v>125</v>
      </c>
    </row>
    <row r="315" spans="1:11" x14ac:dyDescent="0.35">
      <c r="E315" s="1"/>
      <c r="F315" s="1"/>
      <c r="G315" s="1"/>
    </row>
    <row r="323" spans="1:1" x14ac:dyDescent="0.35">
      <c r="A323" s="67" t="s">
        <v>126</v>
      </c>
    </row>
    <row r="332" spans="1:1" x14ac:dyDescent="0.35">
      <c r="A332" s="67" t="s">
        <v>127</v>
      </c>
    </row>
  </sheetData>
  <phoneticPr fontId="20" type="noConversion"/>
  <dataValidations count="1">
    <dataValidation type="list" allowBlank="1" showInputMessage="1" showErrorMessage="1" sqref="E2 E315:G315" xr:uid="{AB008546-7B70-4ABF-9FFB-D1FB33F90E33}">
      <formula1>#REF!</formula1>
    </dataValidation>
  </dataValidations>
  <pageMargins left="0.7" right="0.7" top="0.75" bottom="0.75" header="0.3" footer="0.3"/>
  <pageSetup paperSize="9" orientation="portrait" r:id="rId1"/>
  <headerFooter>
    <oddHeader>&amp;L&amp;"Calibri"&amp;10&amp;K0000FF TechnipFMC | Internal&amp;1#_x000D_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902534-9125-44D4-9370-38BA7860F9E0}">
          <x14:formula1>
            <xm:f>_validation!$C$2:$C$40</xm:f>
          </x14:formula1>
          <xm:sqref>E3:E314</xm:sqref>
        </x14:dataValidation>
        <x14:dataValidation type="list" allowBlank="1" showInputMessage="1" showErrorMessage="1" xr:uid="{D833325F-F298-4037-8991-1F85F1A20D71}">
          <x14:formula1>
            <xm:f>_validation!$B$2:$B$40</xm:f>
          </x14:formula1>
          <xm:sqref>D2:D314</xm:sqref>
        </x14:dataValidation>
        <x14:dataValidation type="list" allowBlank="1" showInputMessage="1" showErrorMessage="1" xr:uid="{603A68F1-51EB-4D96-A37A-1EF38AFFF618}">
          <x14:formula1>
            <xm:f>_validation!$A$2:$A$40</xm:f>
          </x14:formula1>
          <xm:sqref>C2:C314</xm:sqref>
        </x14:dataValidation>
        <x14:dataValidation type="list" allowBlank="1" showInputMessage="1" showErrorMessage="1" xr:uid="{310E4B8B-9F89-47A2-893C-08AE51C1D991}">
          <x14:formula1>
            <xm:f>_validation!$D$2:$D$40</xm:f>
          </x14:formula1>
          <xm:sqref>J2:J314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C4CB-BE89-4772-A127-A20A04D92253}">
  <dimension ref="A1:L313"/>
  <sheetViews>
    <sheetView tabSelected="1" topLeftCell="A243" zoomScaleNormal="100" workbookViewId="0">
      <selection activeCell="I264" sqref="I264:I269"/>
    </sheetView>
  </sheetViews>
  <sheetFormatPr defaultRowHeight="14.5" x14ac:dyDescent="0.35"/>
  <cols>
    <col min="1" max="1" width="10.26953125" style="1" customWidth="1"/>
    <col min="2" max="2" width="18.1796875" bestFit="1" customWidth="1"/>
    <col min="3" max="3" width="26.26953125" customWidth="1"/>
    <col min="4" max="4" width="26.54296875" bestFit="1" customWidth="1"/>
    <col min="5" max="5" width="18.7265625" bestFit="1" customWidth="1"/>
    <col min="6" max="6" width="20.453125" bestFit="1" customWidth="1"/>
    <col min="7" max="7" width="18.1796875" bestFit="1" customWidth="1"/>
    <col min="8" max="8" width="13.7265625" bestFit="1" customWidth="1"/>
    <col min="9" max="9" width="13.54296875" bestFit="1" customWidth="1"/>
    <col min="10" max="10" width="13.54296875" customWidth="1"/>
    <col min="11" max="11" width="72.26953125" bestFit="1" customWidth="1"/>
    <col min="12" max="12" width="9.54296875" customWidth="1"/>
  </cols>
  <sheetData>
    <row r="1" spans="1:12" x14ac:dyDescent="0.35">
      <c r="A1" s="37" t="s">
        <v>13</v>
      </c>
      <c r="B1" s="36" t="s">
        <v>15</v>
      </c>
      <c r="C1" s="36" t="s">
        <v>55</v>
      </c>
      <c r="D1" s="36" t="s">
        <v>56</v>
      </c>
      <c r="E1" s="37" t="s">
        <v>57</v>
      </c>
      <c r="F1" s="37" t="s">
        <v>58</v>
      </c>
      <c r="G1" s="37" t="s">
        <v>59</v>
      </c>
      <c r="H1" s="36" t="s">
        <v>128</v>
      </c>
      <c r="I1" s="36" t="s">
        <v>129</v>
      </c>
      <c r="J1" s="36" t="s">
        <v>130</v>
      </c>
      <c r="K1" s="36" t="s">
        <v>3</v>
      </c>
    </row>
    <row r="2" spans="1:12" ht="15.5" x14ac:dyDescent="0.35">
      <c r="A2" s="67" t="s">
        <v>24</v>
      </c>
      <c r="B2" s="28"/>
      <c r="C2" s="32"/>
      <c r="D2" s="32"/>
      <c r="E2" s="26"/>
      <c r="F2" s="16"/>
      <c r="G2" s="16"/>
      <c r="H2" s="16"/>
      <c r="I2" s="17"/>
      <c r="J2" s="17"/>
      <c r="K2" s="18"/>
    </row>
    <row r="3" spans="1:12" x14ac:dyDescent="0.35">
      <c r="A3" s="43"/>
      <c r="B3" s="27" t="s">
        <v>24</v>
      </c>
      <c r="C3" s="2" t="s">
        <v>63</v>
      </c>
      <c r="D3" s="2" t="s">
        <v>64</v>
      </c>
      <c r="E3" s="2" t="s">
        <v>65</v>
      </c>
      <c r="F3" s="2"/>
      <c r="G3" s="2" t="s">
        <v>66</v>
      </c>
      <c r="H3" s="68"/>
      <c r="I3" s="58">
        <v>1.6000000000000001E-3</v>
      </c>
      <c r="J3" s="63">
        <v>76.564748500000007</v>
      </c>
      <c r="K3" s="25" t="s">
        <v>68</v>
      </c>
    </row>
    <row r="4" spans="1:12" x14ac:dyDescent="0.35">
      <c r="A4" s="43"/>
      <c r="B4" s="27" t="s">
        <v>24</v>
      </c>
      <c r="C4" s="2" t="s">
        <v>63</v>
      </c>
      <c r="D4" s="2" t="s">
        <v>64</v>
      </c>
      <c r="E4" s="2" t="s">
        <v>69</v>
      </c>
      <c r="F4" s="2"/>
      <c r="G4" s="2" t="s">
        <v>66</v>
      </c>
      <c r="H4" s="68"/>
      <c r="I4" s="58">
        <v>1.805161E-3</v>
      </c>
      <c r="J4" s="63">
        <v>76.564748500000007</v>
      </c>
      <c r="K4" s="25" t="s">
        <v>70</v>
      </c>
    </row>
    <row r="5" spans="1:12" x14ac:dyDescent="0.35">
      <c r="A5" s="43"/>
      <c r="B5" s="27" t="s">
        <v>24</v>
      </c>
      <c r="C5" s="2" t="s">
        <v>63</v>
      </c>
      <c r="D5" s="2" t="s">
        <v>64</v>
      </c>
      <c r="E5" s="2" t="s">
        <v>65</v>
      </c>
      <c r="F5" s="2"/>
      <c r="G5" s="2" t="s">
        <v>71</v>
      </c>
      <c r="H5" s="68"/>
      <c r="I5" s="58">
        <v>6.9999999999999999E-4</v>
      </c>
      <c r="J5" s="63">
        <v>76.564748500000007</v>
      </c>
      <c r="K5" s="25" t="s">
        <v>72</v>
      </c>
    </row>
    <row r="6" spans="1:12" x14ac:dyDescent="0.35">
      <c r="A6" s="43"/>
      <c r="B6" s="27" t="s">
        <v>24</v>
      </c>
      <c r="C6" s="2" t="s">
        <v>63</v>
      </c>
      <c r="D6" s="2" t="s">
        <v>64</v>
      </c>
      <c r="E6" s="2" t="s">
        <v>69</v>
      </c>
      <c r="F6" s="2"/>
      <c r="G6" s="2" t="s">
        <v>71</v>
      </c>
      <c r="H6" s="68"/>
      <c r="I6" s="58">
        <v>8.0000000000000004E-4</v>
      </c>
      <c r="J6" s="63">
        <v>76.564748500000007</v>
      </c>
      <c r="K6" s="25" t="s">
        <v>73</v>
      </c>
      <c r="L6" s="2"/>
    </row>
    <row r="7" spans="1:12" x14ac:dyDescent="0.35">
      <c r="A7" s="43"/>
      <c r="B7" s="75" t="s">
        <v>24</v>
      </c>
      <c r="C7" s="76" t="s">
        <v>63</v>
      </c>
      <c r="D7" s="76" t="s">
        <v>64</v>
      </c>
      <c r="E7" s="76" t="s">
        <v>65</v>
      </c>
      <c r="F7" s="76"/>
      <c r="G7" s="76" t="s">
        <v>74</v>
      </c>
      <c r="H7" s="77"/>
      <c r="I7" s="91">
        <v>2.9999999999999997E-4</v>
      </c>
      <c r="J7" s="102">
        <v>76.564748500000007</v>
      </c>
      <c r="K7" s="78" t="s">
        <v>72</v>
      </c>
      <c r="L7" s="2"/>
    </row>
    <row r="8" spans="1:12" x14ac:dyDescent="0.35">
      <c r="A8" s="43"/>
      <c r="B8" s="75" t="s">
        <v>24</v>
      </c>
      <c r="C8" s="76" t="s">
        <v>63</v>
      </c>
      <c r="D8" s="76" t="s">
        <v>64</v>
      </c>
      <c r="E8" s="76" t="s">
        <v>69</v>
      </c>
      <c r="F8" s="76"/>
      <c r="G8" s="76" t="s">
        <v>74</v>
      </c>
      <c r="H8" s="77"/>
      <c r="I8" s="91">
        <v>2.9999999999999997E-4</v>
      </c>
      <c r="J8" s="102">
        <v>76.564748500000007</v>
      </c>
      <c r="K8" s="78" t="s">
        <v>73</v>
      </c>
      <c r="L8" s="2"/>
    </row>
    <row r="9" spans="1:12" x14ac:dyDescent="0.35">
      <c r="A9" s="43"/>
      <c r="B9" s="27" t="s">
        <v>24</v>
      </c>
      <c r="C9" s="2" t="s">
        <v>63</v>
      </c>
      <c r="D9" s="2" t="s">
        <v>131</v>
      </c>
      <c r="E9" s="2" t="s">
        <v>65</v>
      </c>
      <c r="F9" s="2"/>
      <c r="G9" s="2" t="s">
        <v>66</v>
      </c>
      <c r="H9" s="68"/>
      <c r="I9" s="58">
        <v>2.5000000000000001E-3</v>
      </c>
      <c r="J9" s="63">
        <v>47.924748500000007</v>
      </c>
      <c r="K9" s="25" t="s">
        <v>132</v>
      </c>
      <c r="L9" s="2"/>
    </row>
    <row r="10" spans="1:12" x14ac:dyDescent="0.35">
      <c r="A10" s="43"/>
      <c r="B10" s="27" t="s">
        <v>24</v>
      </c>
      <c r="C10" s="2" t="s">
        <v>63</v>
      </c>
      <c r="D10" s="2" t="s">
        <v>131</v>
      </c>
      <c r="E10" s="2" t="s">
        <v>69</v>
      </c>
      <c r="F10" s="2"/>
      <c r="G10" s="2" t="s">
        <v>66</v>
      </c>
      <c r="H10" s="68"/>
      <c r="I10" s="58">
        <v>2.792161E-3</v>
      </c>
      <c r="J10" s="63">
        <v>47.924748500000007</v>
      </c>
      <c r="K10" s="25" t="s">
        <v>133</v>
      </c>
      <c r="L10" s="2"/>
    </row>
    <row r="11" spans="1:12" x14ac:dyDescent="0.35">
      <c r="A11" s="43"/>
      <c r="B11" s="27" t="s">
        <v>24</v>
      </c>
      <c r="C11" s="2" t="s">
        <v>63</v>
      </c>
      <c r="D11" s="2" t="s">
        <v>131</v>
      </c>
      <c r="E11" s="2" t="s">
        <v>65</v>
      </c>
      <c r="F11" s="2"/>
      <c r="G11" s="2" t="s">
        <v>71</v>
      </c>
      <c r="H11" s="68"/>
      <c r="I11" s="58">
        <v>5.9999999999999995E-4</v>
      </c>
      <c r="J11" s="63">
        <v>47.924748500000007</v>
      </c>
      <c r="K11" s="25" t="s">
        <v>134</v>
      </c>
      <c r="L11" s="2"/>
    </row>
    <row r="12" spans="1:12" x14ac:dyDescent="0.35">
      <c r="A12" s="43"/>
      <c r="B12" s="27" t="s">
        <v>24</v>
      </c>
      <c r="C12" s="2" t="s">
        <v>63</v>
      </c>
      <c r="D12" s="2" t="s">
        <v>131</v>
      </c>
      <c r="E12" s="2" t="s">
        <v>69</v>
      </c>
      <c r="F12" s="2"/>
      <c r="G12" s="2" t="s">
        <v>71</v>
      </c>
      <c r="H12" s="68"/>
      <c r="I12" s="58">
        <v>6.9999999999999999E-4</v>
      </c>
      <c r="J12" s="63">
        <v>47.924748500000007</v>
      </c>
      <c r="K12" s="25" t="s">
        <v>135</v>
      </c>
      <c r="L12" s="2"/>
    </row>
    <row r="13" spans="1:12" x14ac:dyDescent="0.35">
      <c r="A13" s="43"/>
      <c r="B13" s="92" t="s">
        <v>24</v>
      </c>
      <c r="C13" s="93" t="s">
        <v>63</v>
      </c>
      <c r="D13" s="93" t="s">
        <v>131</v>
      </c>
      <c r="E13" s="93" t="s">
        <v>65</v>
      </c>
      <c r="F13" s="93"/>
      <c r="G13" s="93" t="s">
        <v>136</v>
      </c>
      <c r="H13" s="94"/>
      <c r="I13" s="95">
        <v>5.0000000000000001E-4</v>
      </c>
      <c r="J13" s="102">
        <v>47.924748500000007</v>
      </c>
      <c r="K13" s="96" t="s">
        <v>134</v>
      </c>
      <c r="L13" s="2"/>
    </row>
    <row r="14" spans="1:12" x14ac:dyDescent="0.35">
      <c r="A14" s="43"/>
      <c r="B14" s="92" t="s">
        <v>24</v>
      </c>
      <c r="C14" s="93" t="s">
        <v>63</v>
      </c>
      <c r="D14" s="93" t="s">
        <v>131</v>
      </c>
      <c r="E14" s="93" t="s">
        <v>69</v>
      </c>
      <c r="F14" s="93"/>
      <c r="G14" s="93" t="s">
        <v>136</v>
      </c>
      <c r="H14" s="94"/>
      <c r="I14" s="95">
        <v>5.9999999999999995E-4</v>
      </c>
      <c r="J14" s="102">
        <v>47.924748500000007</v>
      </c>
      <c r="K14" s="96" t="s">
        <v>135</v>
      </c>
      <c r="L14" s="2"/>
    </row>
    <row r="15" spans="1:12" x14ac:dyDescent="0.35">
      <c r="A15" s="43"/>
      <c r="B15" s="27" t="s">
        <v>24</v>
      </c>
      <c r="C15" s="2" t="s">
        <v>63</v>
      </c>
      <c r="D15" s="2" t="s">
        <v>75</v>
      </c>
      <c r="E15" s="2" t="s">
        <v>65</v>
      </c>
      <c r="F15" s="2"/>
      <c r="G15" s="2" t="s">
        <v>66</v>
      </c>
      <c r="H15" s="68"/>
      <c r="I15" s="58">
        <v>1.7899999999999999E-3</v>
      </c>
      <c r="J15" s="63">
        <v>2.4247484999999998</v>
      </c>
      <c r="K15" s="25" t="s">
        <v>76</v>
      </c>
      <c r="L15" s="2"/>
    </row>
    <row r="16" spans="1:12" x14ac:dyDescent="0.35">
      <c r="A16" s="43"/>
      <c r="B16" s="27" t="s">
        <v>24</v>
      </c>
      <c r="C16" s="2" t="s">
        <v>63</v>
      </c>
      <c r="D16" s="2" t="s">
        <v>75</v>
      </c>
      <c r="E16" s="2" t="s">
        <v>69</v>
      </c>
      <c r="F16" s="2"/>
      <c r="G16" s="2" t="s">
        <v>66</v>
      </c>
      <c r="H16" s="68"/>
      <c r="I16" s="58">
        <v>2.0200000000000001E-3</v>
      </c>
      <c r="J16" s="63">
        <v>2.4247484999999998</v>
      </c>
      <c r="K16" s="25" t="s">
        <v>77</v>
      </c>
      <c r="L16" s="2"/>
    </row>
    <row r="17" spans="1:12" x14ac:dyDescent="0.35">
      <c r="A17" s="43"/>
      <c r="B17" s="27" t="s">
        <v>24</v>
      </c>
      <c r="C17" s="2" t="s">
        <v>63</v>
      </c>
      <c r="D17" s="2" t="s">
        <v>75</v>
      </c>
      <c r="E17" s="2" t="s">
        <v>65</v>
      </c>
      <c r="F17" s="2"/>
      <c r="G17" s="2" t="s">
        <v>71</v>
      </c>
      <c r="H17" s="68"/>
      <c r="I17" s="58">
        <v>4.8999999999999998E-4</v>
      </c>
      <c r="J17" s="63">
        <v>2.4247484999999998</v>
      </c>
      <c r="K17" s="25" t="s">
        <v>78</v>
      </c>
      <c r="L17" s="2"/>
    </row>
    <row r="18" spans="1:12" x14ac:dyDescent="0.35">
      <c r="A18" s="43"/>
      <c r="B18" s="27" t="s">
        <v>24</v>
      </c>
      <c r="C18" s="2" t="s">
        <v>63</v>
      </c>
      <c r="D18" s="2" t="s">
        <v>75</v>
      </c>
      <c r="E18" s="2" t="s">
        <v>69</v>
      </c>
      <c r="F18" s="2"/>
      <c r="G18" s="2" t="s">
        <v>71</v>
      </c>
      <c r="H18" s="68"/>
      <c r="I18" s="58">
        <v>5.4000000000000001E-4</v>
      </c>
      <c r="J18" s="63">
        <v>2.4247484999999998</v>
      </c>
      <c r="K18" s="25" t="s">
        <v>79</v>
      </c>
      <c r="L18" s="2"/>
    </row>
    <row r="19" spans="1:12" x14ac:dyDescent="0.35">
      <c r="A19" s="43"/>
      <c r="B19" s="97" t="s">
        <v>24</v>
      </c>
      <c r="C19" s="98" t="s">
        <v>63</v>
      </c>
      <c r="D19" s="98" t="s">
        <v>75</v>
      </c>
      <c r="E19" s="98" t="s">
        <v>65</v>
      </c>
      <c r="F19" s="98"/>
      <c r="G19" s="98" t="s">
        <v>74</v>
      </c>
      <c r="H19" s="99"/>
      <c r="I19" s="100">
        <v>2.3000000000000001E-4</v>
      </c>
      <c r="J19" s="102">
        <v>2.4247484999999998</v>
      </c>
      <c r="K19" s="101" t="s">
        <v>78</v>
      </c>
      <c r="L19" s="2"/>
    </row>
    <row r="20" spans="1:12" x14ac:dyDescent="0.35">
      <c r="A20" s="43"/>
      <c r="B20" s="97" t="s">
        <v>24</v>
      </c>
      <c r="C20" s="98" t="s">
        <v>63</v>
      </c>
      <c r="D20" s="98" t="s">
        <v>75</v>
      </c>
      <c r="E20" s="98" t="s">
        <v>69</v>
      </c>
      <c r="F20" s="98"/>
      <c r="G20" s="98" t="s">
        <v>74</v>
      </c>
      <c r="H20" s="99"/>
      <c r="I20" s="100">
        <v>2.4000000000000001E-4</v>
      </c>
      <c r="J20" s="102">
        <v>2.4247484999999998</v>
      </c>
      <c r="K20" s="101" t="s">
        <v>79</v>
      </c>
      <c r="L20" s="2"/>
    </row>
    <row r="21" spans="1:12" x14ac:dyDescent="0.35">
      <c r="A21" s="43"/>
      <c r="B21" s="27" t="s">
        <v>24</v>
      </c>
      <c r="C21" s="2" t="s">
        <v>63</v>
      </c>
      <c r="D21" s="2" t="s">
        <v>80</v>
      </c>
      <c r="E21" s="2" t="s">
        <v>65</v>
      </c>
      <c r="F21" s="2"/>
      <c r="G21" s="2" t="s">
        <v>66</v>
      </c>
      <c r="H21" s="68"/>
      <c r="I21" s="58">
        <v>1.7899999999999999E-3</v>
      </c>
      <c r="J21" s="63">
        <v>11.4247485</v>
      </c>
      <c r="K21" s="25" t="s">
        <v>81</v>
      </c>
      <c r="L21" s="2"/>
    </row>
    <row r="22" spans="1:12" x14ac:dyDescent="0.35">
      <c r="A22" s="43"/>
      <c r="B22" s="27" t="s">
        <v>24</v>
      </c>
      <c r="C22" s="2" t="s">
        <v>63</v>
      </c>
      <c r="D22" s="2" t="s">
        <v>80</v>
      </c>
      <c r="E22" s="2" t="s">
        <v>69</v>
      </c>
      <c r="F22" s="2"/>
      <c r="G22" s="2" t="s">
        <v>66</v>
      </c>
      <c r="H22" s="68"/>
      <c r="I22" s="58">
        <v>2.0200000000000001E-3</v>
      </c>
      <c r="J22" s="63">
        <v>11.4247485</v>
      </c>
      <c r="K22" s="25" t="s">
        <v>82</v>
      </c>
      <c r="L22" s="2"/>
    </row>
    <row r="23" spans="1:12" x14ac:dyDescent="0.35">
      <c r="A23" s="43"/>
      <c r="B23" s="27" t="s">
        <v>24</v>
      </c>
      <c r="C23" s="2" t="s">
        <v>63</v>
      </c>
      <c r="D23" s="2" t="s">
        <v>80</v>
      </c>
      <c r="E23" s="2" t="s">
        <v>65</v>
      </c>
      <c r="F23" s="2"/>
      <c r="G23" s="2" t="s">
        <v>71</v>
      </c>
      <c r="H23" s="68"/>
      <c r="I23" s="58">
        <v>4.8999999999999998E-4</v>
      </c>
      <c r="J23" s="63">
        <v>11.4247485</v>
      </c>
      <c r="K23" s="25" t="s">
        <v>83</v>
      </c>
      <c r="L23" s="2"/>
    </row>
    <row r="24" spans="1:12" x14ac:dyDescent="0.35">
      <c r="A24" s="43"/>
      <c r="B24" s="27" t="s">
        <v>24</v>
      </c>
      <c r="C24" s="2" t="s">
        <v>63</v>
      </c>
      <c r="D24" s="2" t="s">
        <v>80</v>
      </c>
      <c r="E24" s="2" t="s">
        <v>69</v>
      </c>
      <c r="F24" s="2"/>
      <c r="G24" s="2" t="s">
        <v>71</v>
      </c>
      <c r="H24" s="68"/>
      <c r="I24" s="58">
        <v>5.4000000000000001E-4</v>
      </c>
      <c r="J24" s="63">
        <v>11.4247485</v>
      </c>
      <c r="K24" s="25" t="s">
        <v>84</v>
      </c>
      <c r="L24" s="2"/>
    </row>
    <row r="25" spans="1:12" x14ac:dyDescent="0.35">
      <c r="A25" s="43"/>
      <c r="B25" s="97" t="s">
        <v>24</v>
      </c>
      <c r="C25" s="98" t="s">
        <v>63</v>
      </c>
      <c r="D25" s="98" t="s">
        <v>80</v>
      </c>
      <c r="E25" s="98" t="s">
        <v>65</v>
      </c>
      <c r="F25" s="98"/>
      <c r="G25" s="98" t="s">
        <v>74</v>
      </c>
      <c r="H25" s="99"/>
      <c r="I25" s="100">
        <v>2.3000000000000001E-4</v>
      </c>
      <c r="J25" s="102">
        <v>11.4247485</v>
      </c>
      <c r="K25" s="101" t="s">
        <v>83</v>
      </c>
      <c r="L25" s="2"/>
    </row>
    <row r="26" spans="1:12" x14ac:dyDescent="0.35">
      <c r="A26" s="43"/>
      <c r="B26" s="97" t="s">
        <v>24</v>
      </c>
      <c r="C26" s="98" t="s">
        <v>63</v>
      </c>
      <c r="D26" s="98" t="s">
        <v>80</v>
      </c>
      <c r="E26" s="98" t="s">
        <v>69</v>
      </c>
      <c r="F26" s="98"/>
      <c r="G26" s="98" t="s">
        <v>74</v>
      </c>
      <c r="H26" s="99"/>
      <c r="I26" s="100">
        <v>2.4000000000000001E-4</v>
      </c>
      <c r="J26" s="102">
        <v>11.4247485</v>
      </c>
      <c r="K26" s="101" t="s">
        <v>84</v>
      </c>
      <c r="L26" s="2"/>
    </row>
    <row r="27" spans="1:12" x14ac:dyDescent="0.35">
      <c r="A27" s="43"/>
      <c r="B27" s="27" t="s">
        <v>24</v>
      </c>
      <c r="C27" s="2" t="s">
        <v>63</v>
      </c>
      <c r="D27" s="2" t="s">
        <v>85</v>
      </c>
      <c r="E27" s="2" t="s">
        <v>65</v>
      </c>
      <c r="F27" s="2"/>
      <c r="G27" s="2" t="s">
        <v>66</v>
      </c>
      <c r="H27" s="68"/>
      <c r="I27" s="58">
        <v>1.7899999999999999E-3</v>
      </c>
      <c r="J27" s="63">
        <v>1.3247485000000019</v>
      </c>
      <c r="K27" s="25" t="s">
        <v>76</v>
      </c>
      <c r="L27" s="2"/>
    </row>
    <row r="28" spans="1:12" x14ac:dyDescent="0.35">
      <c r="A28" s="43"/>
      <c r="B28" s="27" t="s">
        <v>24</v>
      </c>
      <c r="C28" s="2" t="s">
        <v>63</v>
      </c>
      <c r="D28" s="2" t="s">
        <v>85</v>
      </c>
      <c r="E28" s="2" t="s">
        <v>69</v>
      </c>
      <c r="F28" s="2"/>
      <c r="G28" s="2" t="s">
        <v>66</v>
      </c>
      <c r="H28" s="68"/>
      <c r="I28" s="58">
        <v>2.0200000000000001E-3</v>
      </c>
      <c r="J28" s="63">
        <v>1.3247485000000019</v>
      </c>
      <c r="K28" s="25" t="s">
        <v>77</v>
      </c>
      <c r="L28" s="2"/>
    </row>
    <row r="29" spans="1:12" x14ac:dyDescent="0.35">
      <c r="A29" s="43"/>
      <c r="B29" s="27" t="s">
        <v>24</v>
      </c>
      <c r="C29" s="2" t="s">
        <v>63</v>
      </c>
      <c r="D29" s="2" t="s">
        <v>85</v>
      </c>
      <c r="E29" s="2" t="s">
        <v>65</v>
      </c>
      <c r="F29" s="2"/>
      <c r="G29" s="2" t="s">
        <v>71</v>
      </c>
      <c r="H29" s="68"/>
      <c r="I29" s="58">
        <v>4.8999999999999998E-4</v>
      </c>
      <c r="J29" s="63">
        <v>1.3247485000000019</v>
      </c>
      <c r="K29" s="25" t="s">
        <v>78</v>
      </c>
      <c r="L29" s="2"/>
    </row>
    <row r="30" spans="1:12" x14ac:dyDescent="0.35">
      <c r="A30" s="43"/>
      <c r="B30" s="27" t="s">
        <v>24</v>
      </c>
      <c r="C30" s="2" t="s">
        <v>63</v>
      </c>
      <c r="D30" s="2" t="s">
        <v>85</v>
      </c>
      <c r="E30" s="2" t="s">
        <v>69</v>
      </c>
      <c r="F30" s="2"/>
      <c r="G30" s="2" t="s">
        <v>71</v>
      </c>
      <c r="H30" s="68"/>
      <c r="I30" s="58">
        <v>5.4000000000000001E-4</v>
      </c>
      <c r="J30" s="63">
        <v>1.3247485000000019</v>
      </c>
      <c r="K30" s="25" t="s">
        <v>79</v>
      </c>
      <c r="L30" s="2"/>
    </row>
    <row r="31" spans="1:12" x14ac:dyDescent="0.35">
      <c r="A31" s="43"/>
      <c r="B31" s="97" t="s">
        <v>24</v>
      </c>
      <c r="C31" s="98" t="s">
        <v>63</v>
      </c>
      <c r="D31" s="98" t="s">
        <v>85</v>
      </c>
      <c r="E31" s="98" t="s">
        <v>65</v>
      </c>
      <c r="F31" s="98"/>
      <c r="G31" s="98" t="s">
        <v>74</v>
      </c>
      <c r="H31" s="99"/>
      <c r="I31" s="100">
        <v>2.3000000000000001E-4</v>
      </c>
      <c r="J31" s="102">
        <v>1.3247485000000019</v>
      </c>
      <c r="K31" s="101" t="s">
        <v>78</v>
      </c>
      <c r="L31" s="2"/>
    </row>
    <row r="32" spans="1:12" x14ac:dyDescent="0.35">
      <c r="A32" s="43"/>
      <c r="B32" s="97" t="s">
        <v>24</v>
      </c>
      <c r="C32" s="98" t="s">
        <v>63</v>
      </c>
      <c r="D32" s="98" t="s">
        <v>85</v>
      </c>
      <c r="E32" s="98" t="s">
        <v>69</v>
      </c>
      <c r="F32" s="98"/>
      <c r="G32" s="98" t="s">
        <v>74</v>
      </c>
      <c r="H32" s="99"/>
      <c r="I32" s="100">
        <v>2.4000000000000001E-4</v>
      </c>
      <c r="J32" s="102">
        <v>1.3247485000000019</v>
      </c>
      <c r="K32" s="101" t="s">
        <v>79</v>
      </c>
      <c r="L32" s="2"/>
    </row>
    <row r="33" spans="1:12" x14ac:dyDescent="0.35">
      <c r="A33" s="43"/>
      <c r="B33" s="27" t="s">
        <v>24</v>
      </c>
      <c r="C33" s="2" t="s">
        <v>63</v>
      </c>
      <c r="D33" s="2" t="s">
        <v>86</v>
      </c>
      <c r="E33" s="2" t="s">
        <v>65</v>
      </c>
      <c r="F33" s="2"/>
      <c r="G33" s="2" t="s">
        <v>66</v>
      </c>
      <c r="H33" s="68"/>
      <c r="I33" s="58">
        <v>1.7100000000000001E-3</v>
      </c>
      <c r="J33" s="63">
        <v>2.4247484999999998</v>
      </c>
      <c r="K33" s="25" t="s">
        <v>76</v>
      </c>
      <c r="L33" s="2"/>
    </row>
    <row r="34" spans="1:12" x14ac:dyDescent="0.35">
      <c r="A34" s="43"/>
      <c r="B34" s="27" t="s">
        <v>24</v>
      </c>
      <c r="C34" s="2" t="s">
        <v>63</v>
      </c>
      <c r="D34" s="2" t="s">
        <v>86</v>
      </c>
      <c r="E34" s="2" t="s">
        <v>69</v>
      </c>
      <c r="F34" s="2"/>
      <c r="G34" s="2" t="s">
        <v>66</v>
      </c>
      <c r="H34" s="68"/>
      <c r="I34" s="58">
        <v>1.9300000000000001E-3</v>
      </c>
      <c r="J34" s="103">
        <v>2.4247484999999998</v>
      </c>
      <c r="K34" s="25" t="s">
        <v>77</v>
      </c>
      <c r="L34" s="2"/>
    </row>
    <row r="35" spans="1:12" x14ac:dyDescent="0.35">
      <c r="B35" s="27" t="s">
        <v>24</v>
      </c>
      <c r="C35" s="2" t="s">
        <v>63</v>
      </c>
      <c r="D35" s="2" t="s">
        <v>86</v>
      </c>
      <c r="E35" s="2" t="s">
        <v>65</v>
      </c>
      <c r="F35" s="2"/>
      <c r="G35" s="2" t="s">
        <v>71</v>
      </c>
      <c r="H35" s="68"/>
      <c r="I35" s="58">
        <v>4.8999999999999998E-4</v>
      </c>
      <c r="J35" s="63">
        <v>2.4247484999999998</v>
      </c>
      <c r="K35" s="25" t="s">
        <v>78</v>
      </c>
      <c r="L35" s="2"/>
    </row>
    <row r="36" spans="1:12" x14ac:dyDescent="0.35">
      <c r="A36" s="43"/>
      <c r="B36" s="27" t="s">
        <v>24</v>
      </c>
      <c r="C36" s="2" t="s">
        <v>63</v>
      </c>
      <c r="D36" s="2" t="s">
        <v>86</v>
      </c>
      <c r="E36" s="2" t="s">
        <v>69</v>
      </c>
      <c r="F36" s="2"/>
      <c r="G36" s="2" t="s">
        <v>71</v>
      </c>
      <c r="H36" s="68"/>
      <c r="I36" s="58">
        <v>5.4000000000000001E-4</v>
      </c>
      <c r="J36" s="103">
        <v>2.4247484999999998</v>
      </c>
      <c r="K36" s="25" t="s">
        <v>79</v>
      </c>
      <c r="L36" s="2"/>
    </row>
    <row r="37" spans="1:12" x14ac:dyDescent="0.35">
      <c r="A37" s="43"/>
      <c r="B37" s="97" t="s">
        <v>24</v>
      </c>
      <c r="C37" s="98" t="s">
        <v>63</v>
      </c>
      <c r="D37" s="98" t="s">
        <v>86</v>
      </c>
      <c r="E37" s="98" t="s">
        <v>65</v>
      </c>
      <c r="F37" s="98"/>
      <c r="G37" s="98" t="s">
        <v>74</v>
      </c>
      <c r="H37" s="99"/>
      <c r="I37" s="100">
        <v>2.3000000000000001E-4</v>
      </c>
      <c r="J37" s="102">
        <v>2.4247484999999998</v>
      </c>
      <c r="K37" s="101" t="s">
        <v>78</v>
      </c>
      <c r="L37" s="2"/>
    </row>
    <row r="38" spans="1:12" x14ac:dyDescent="0.35">
      <c r="A38" s="43"/>
      <c r="B38" s="97" t="s">
        <v>24</v>
      </c>
      <c r="C38" s="98" t="s">
        <v>63</v>
      </c>
      <c r="D38" s="98" t="s">
        <v>86</v>
      </c>
      <c r="E38" s="98" t="s">
        <v>69</v>
      </c>
      <c r="F38" s="98"/>
      <c r="G38" s="98" t="s">
        <v>74</v>
      </c>
      <c r="H38" s="99"/>
      <c r="I38" s="100">
        <v>2.4000000000000001E-4</v>
      </c>
      <c r="J38" s="102">
        <v>2.4247484999999998</v>
      </c>
      <c r="K38" s="101" t="s">
        <v>79</v>
      </c>
      <c r="L38" s="2"/>
    </row>
    <row r="39" spans="1:12" x14ac:dyDescent="0.35">
      <c r="A39" s="43"/>
      <c r="B39" s="27" t="s">
        <v>24</v>
      </c>
      <c r="C39" s="2" t="s">
        <v>63</v>
      </c>
      <c r="D39" s="2" t="s">
        <v>87</v>
      </c>
      <c r="E39" s="2" t="s">
        <v>65</v>
      </c>
      <c r="F39" s="2"/>
      <c r="G39" s="2" t="s">
        <v>66</v>
      </c>
      <c r="H39" s="68"/>
      <c r="I39" s="58">
        <v>1.7100000000000001E-3</v>
      </c>
      <c r="J39" s="63">
        <v>11.4247485</v>
      </c>
      <c r="K39" s="25" t="s">
        <v>81</v>
      </c>
      <c r="L39" s="2"/>
    </row>
    <row r="40" spans="1:12" x14ac:dyDescent="0.35">
      <c r="A40" s="43"/>
      <c r="B40" s="27" t="s">
        <v>24</v>
      </c>
      <c r="C40" s="2" t="s">
        <v>63</v>
      </c>
      <c r="D40" s="2" t="s">
        <v>87</v>
      </c>
      <c r="E40" s="2" t="s">
        <v>69</v>
      </c>
      <c r="F40" s="2"/>
      <c r="G40" s="2" t="s">
        <v>66</v>
      </c>
      <c r="H40" s="68"/>
      <c r="I40" s="58">
        <v>1.9300000000000001E-3</v>
      </c>
      <c r="J40" s="103">
        <v>11.4247485</v>
      </c>
      <c r="K40" s="25" t="s">
        <v>82</v>
      </c>
      <c r="L40" s="2"/>
    </row>
    <row r="41" spans="1:12" x14ac:dyDescent="0.35">
      <c r="A41" s="43"/>
      <c r="B41" s="27" t="s">
        <v>24</v>
      </c>
      <c r="C41" s="2" t="s">
        <v>63</v>
      </c>
      <c r="D41" s="2" t="s">
        <v>87</v>
      </c>
      <c r="E41" s="2" t="s">
        <v>65</v>
      </c>
      <c r="F41" s="2"/>
      <c r="G41" s="2" t="s">
        <v>71</v>
      </c>
      <c r="H41" s="68"/>
      <c r="I41" s="58">
        <v>4.8999999999999998E-4</v>
      </c>
      <c r="J41" s="102">
        <v>11.4247485</v>
      </c>
      <c r="K41" s="25" t="s">
        <v>83</v>
      </c>
      <c r="L41" s="2"/>
    </row>
    <row r="42" spans="1:12" x14ac:dyDescent="0.35">
      <c r="A42" s="43"/>
      <c r="B42" s="27" t="s">
        <v>24</v>
      </c>
      <c r="C42" s="2" t="s">
        <v>63</v>
      </c>
      <c r="D42" s="2" t="s">
        <v>87</v>
      </c>
      <c r="E42" s="2" t="s">
        <v>69</v>
      </c>
      <c r="F42" s="2"/>
      <c r="G42" s="2" t="s">
        <v>71</v>
      </c>
      <c r="H42" s="68"/>
      <c r="I42" s="58">
        <v>5.4000000000000001E-4</v>
      </c>
      <c r="J42" s="103">
        <v>11.4247485</v>
      </c>
      <c r="K42" s="25" t="s">
        <v>84</v>
      </c>
      <c r="L42" s="2"/>
    </row>
    <row r="43" spans="1:12" x14ac:dyDescent="0.35">
      <c r="A43" s="43"/>
      <c r="B43" s="97" t="s">
        <v>24</v>
      </c>
      <c r="C43" s="98" t="s">
        <v>63</v>
      </c>
      <c r="D43" s="98" t="s">
        <v>87</v>
      </c>
      <c r="E43" s="98" t="s">
        <v>65</v>
      </c>
      <c r="F43" s="98"/>
      <c r="G43" s="98" t="s">
        <v>74</v>
      </c>
      <c r="H43" s="99"/>
      <c r="I43" s="100">
        <v>2.3000000000000001E-4</v>
      </c>
      <c r="J43" s="102">
        <v>11.4247485</v>
      </c>
      <c r="K43" s="101" t="s">
        <v>83</v>
      </c>
      <c r="L43" s="2"/>
    </row>
    <row r="44" spans="1:12" x14ac:dyDescent="0.35">
      <c r="A44" s="43"/>
      <c r="B44" s="97" t="s">
        <v>24</v>
      </c>
      <c r="C44" s="98" t="s">
        <v>63</v>
      </c>
      <c r="D44" s="98" t="s">
        <v>87</v>
      </c>
      <c r="E44" s="98" t="s">
        <v>69</v>
      </c>
      <c r="F44" s="98"/>
      <c r="G44" s="98" t="s">
        <v>74</v>
      </c>
      <c r="H44" s="99"/>
      <c r="I44" s="100">
        <v>2.4000000000000001E-4</v>
      </c>
      <c r="J44" s="102">
        <v>11.4247485</v>
      </c>
      <c r="K44" s="101" t="s">
        <v>84</v>
      </c>
      <c r="L44" s="2"/>
    </row>
    <row r="45" spans="1:12" x14ac:dyDescent="0.35">
      <c r="A45" s="43"/>
      <c r="B45" s="27" t="s">
        <v>24</v>
      </c>
      <c r="C45" s="2" t="s">
        <v>63</v>
      </c>
      <c r="D45" s="2" t="s">
        <v>88</v>
      </c>
      <c r="E45" s="2" t="s">
        <v>65</v>
      </c>
      <c r="F45" s="2"/>
      <c r="G45" s="2" t="s">
        <v>66</v>
      </c>
      <c r="H45" s="68"/>
      <c r="I45" s="58">
        <v>1.7100000000000001E-3</v>
      </c>
      <c r="J45" s="102">
        <v>1.3247485000000019</v>
      </c>
      <c r="K45" s="25" t="s">
        <v>76</v>
      </c>
      <c r="L45" s="2"/>
    </row>
    <row r="46" spans="1:12" x14ac:dyDescent="0.35">
      <c r="A46" s="43"/>
      <c r="B46" s="27" t="s">
        <v>24</v>
      </c>
      <c r="C46" s="2" t="s">
        <v>63</v>
      </c>
      <c r="D46" s="2" t="s">
        <v>88</v>
      </c>
      <c r="E46" s="2" t="s">
        <v>69</v>
      </c>
      <c r="F46" s="2"/>
      <c r="G46" s="2" t="s">
        <v>66</v>
      </c>
      <c r="H46" s="68"/>
      <c r="I46" s="58">
        <v>1.9300000000000001E-3</v>
      </c>
      <c r="J46" s="103">
        <v>1.3247485000000019</v>
      </c>
      <c r="K46" s="25" t="s">
        <v>77</v>
      </c>
      <c r="L46" s="2"/>
    </row>
    <row r="47" spans="1:12" x14ac:dyDescent="0.35">
      <c r="A47" s="43"/>
      <c r="B47" s="27" t="s">
        <v>24</v>
      </c>
      <c r="C47" s="2" t="s">
        <v>63</v>
      </c>
      <c r="D47" s="2" t="s">
        <v>88</v>
      </c>
      <c r="E47" s="2" t="s">
        <v>65</v>
      </c>
      <c r="F47" s="2"/>
      <c r="G47" s="2" t="s">
        <v>71</v>
      </c>
      <c r="H47" s="68"/>
      <c r="I47" s="58">
        <v>4.8999999999999998E-4</v>
      </c>
      <c r="J47" s="63">
        <v>1.3247485000000019</v>
      </c>
      <c r="K47" s="25" t="s">
        <v>78</v>
      </c>
      <c r="L47" s="2"/>
    </row>
    <row r="48" spans="1:12" x14ac:dyDescent="0.35">
      <c r="A48" s="43"/>
      <c r="B48" s="27" t="s">
        <v>24</v>
      </c>
      <c r="C48" s="2" t="s">
        <v>63</v>
      </c>
      <c r="D48" s="2" t="s">
        <v>88</v>
      </c>
      <c r="E48" s="2" t="s">
        <v>69</v>
      </c>
      <c r="F48" s="2"/>
      <c r="G48" s="2" t="s">
        <v>71</v>
      </c>
      <c r="H48" s="68"/>
      <c r="I48" s="58">
        <v>5.4000000000000001E-4</v>
      </c>
      <c r="J48" s="103">
        <v>1.3247485000000019</v>
      </c>
      <c r="K48" s="25" t="s">
        <v>79</v>
      </c>
      <c r="L48" s="2"/>
    </row>
    <row r="49" spans="1:12" x14ac:dyDescent="0.35">
      <c r="A49" s="43"/>
      <c r="B49" s="97" t="s">
        <v>24</v>
      </c>
      <c r="C49" s="98" t="s">
        <v>63</v>
      </c>
      <c r="D49" s="98" t="s">
        <v>88</v>
      </c>
      <c r="E49" s="98" t="s">
        <v>65</v>
      </c>
      <c r="F49" s="98"/>
      <c r="G49" s="98" t="s">
        <v>74</v>
      </c>
      <c r="H49" s="99"/>
      <c r="I49" s="100">
        <v>2.3000000000000001E-4</v>
      </c>
      <c r="J49" s="102">
        <v>1.3247485000000019</v>
      </c>
      <c r="K49" s="101" t="s">
        <v>78</v>
      </c>
      <c r="L49" s="2"/>
    </row>
    <row r="50" spans="1:12" x14ac:dyDescent="0.35">
      <c r="A50" s="43"/>
      <c r="B50" s="97" t="s">
        <v>24</v>
      </c>
      <c r="C50" s="98" t="s">
        <v>63</v>
      </c>
      <c r="D50" s="98" t="s">
        <v>88</v>
      </c>
      <c r="E50" s="98" t="s">
        <v>69</v>
      </c>
      <c r="F50" s="98"/>
      <c r="G50" s="98" t="s">
        <v>74</v>
      </c>
      <c r="H50" s="99"/>
      <c r="I50" s="100">
        <v>2.4000000000000001E-4</v>
      </c>
      <c r="J50" s="103">
        <v>1.3247485000000019</v>
      </c>
      <c r="K50" s="101" t="s">
        <v>79</v>
      </c>
      <c r="L50" s="2"/>
    </row>
    <row r="51" spans="1:12" x14ac:dyDescent="0.35">
      <c r="B51" s="27" t="s">
        <v>24</v>
      </c>
      <c r="C51" s="2" t="s">
        <v>63</v>
      </c>
      <c r="D51" s="2" t="s">
        <v>89</v>
      </c>
      <c r="E51" s="2" t="s">
        <v>65</v>
      </c>
      <c r="F51" s="2"/>
      <c r="G51" s="2" t="s">
        <v>66</v>
      </c>
      <c r="H51" s="68"/>
      <c r="I51" s="58">
        <v>1.7299999999999998E-3</v>
      </c>
      <c r="J51" s="63">
        <v>3.6247485000000026</v>
      </c>
      <c r="K51" s="25" t="s">
        <v>76</v>
      </c>
      <c r="L51" s="2"/>
    </row>
    <row r="52" spans="1:12" x14ac:dyDescent="0.35">
      <c r="B52" s="27" t="s">
        <v>24</v>
      </c>
      <c r="C52" s="2" t="s">
        <v>63</v>
      </c>
      <c r="D52" s="2" t="s">
        <v>89</v>
      </c>
      <c r="E52" s="2" t="s">
        <v>69</v>
      </c>
      <c r="F52" s="2"/>
      <c r="G52" s="2" t="s">
        <v>66</v>
      </c>
      <c r="H52" s="68"/>
      <c r="I52" s="58">
        <v>1.9500000000000001E-3</v>
      </c>
      <c r="J52" s="63">
        <v>3.6247485000000026</v>
      </c>
      <c r="K52" s="25" t="s">
        <v>77</v>
      </c>
      <c r="L52" s="2"/>
    </row>
    <row r="53" spans="1:12" x14ac:dyDescent="0.35">
      <c r="B53" s="27" t="s">
        <v>24</v>
      </c>
      <c r="C53" s="2" t="s">
        <v>63</v>
      </c>
      <c r="D53" s="2" t="s">
        <v>89</v>
      </c>
      <c r="E53" s="2" t="s">
        <v>65</v>
      </c>
      <c r="F53" s="2"/>
      <c r="G53" s="2" t="s">
        <v>71</v>
      </c>
      <c r="H53" s="68"/>
      <c r="I53" s="58">
        <v>5.0000000000000001E-4</v>
      </c>
      <c r="J53" s="63">
        <v>3.6247485000000026</v>
      </c>
      <c r="K53" s="25" t="s">
        <v>78</v>
      </c>
      <c r="L53" s="2"/>
    </row>
    <row r="54" spans="1:12" x14ac:dyDescent="0.35">
      <c r="B54" s="27" t="s">
        <v>24</v>
      </c>
      <c r="C54" s="2" t="s">
        <v>63</v>
      </c>
      <c r="D54" s="2" t="s">
        <v>89</v>
      </c>
      <c r="E54" s="2" t="s">
        <v>69</v>
      </c>
      <c r="F54" s="2"/>
      <c r="G54" s="2" t="s">
        <v>71</v>
      </c>
      <c r="H54" s="68"/>
      <c r="I54" s="58">
        <v>5.4000000000000001E-4</v>
      </c>
      <c r="J54" s="63">
        <v>3.6247485000000026</v>
      </c>
      <c r="K54" s="25" t="s">
        <v>79</v>
      </c>
      <c r="L54" s="2"/>
    </row>
    <row r="55" spans="1:12" x14ac:dyDescent="0.35">
      <c r="B55" s="97" t="s">
        <v>24</v>
      </c>
      <c r="C55" s="98" t="s">
        <v>63</v>
      </c>
      <c r="D55" s="98" t="s">
        <v>89</v>
      </c>
      <c r="E55" s="98" t="s">
        <v>65</v>
      </c>
      <c r="F55" s="98"/>
      <c r="G55" s="98" t="s">
        <v>74</v>
      </c>
      <c r="H55" s="99"/>
      <c r="I55" s="100">
        <v>2.3000000000000001E-4</v>
      </c>
      <c r="J55" s="102">
        <v>3.6247485000000026</v>
      </c>
      <c r="K55" s="101" t="s">
        <v>78</v>
      </c>
      <c r="L55" s="2"/>
    </row>
    <row r="56" spans="1:12" x14ac:dyDescent="0.35">
      <c r="B56" s="97" t="s">
        <v>24</v>
      </c>
      <c r="C56" s="98" t="s">
        <v>63</v>
      </c>
      <c r="D56" s="98" t="s">
        <v>89</v>
      </c>
      <c r="E56" s="98" t="s">
        <v>69</v>
      </c>
      <c r="F56" s="98"/>
      <c r="G56" s="98" t="s">
        <v>74</v>
      </c>
      <c r="H56" s="99"/>
      <c r="I56" s="100">
        <v>2.4000000000000001E-4</v>
      </c>
      <c r="J56" s="102">
        <v>3.6247485000000026</v>
      </c>
      <c r="K56" s="101" t="s">
        <v>79</v>
      </c>
      <c r="L56" s="2"/>
    </row>
    <row r="57" spans="1:12" x14ac:dyDescent="0.35">
      <c r="B57" s="27" t="s">
        <v>24</v>
      </c>
      <c r="C57" s="2" t="s">
        <v>63</v>
      </c>
      <c r="D57" s="2" t="s">
        <v>90</v>
      </c>
      <c r="E57" s="2" t="s">
        <v>65</v>
      </c>
      <c r="F57" s="2"/>
      <c r="G57" s="2" t="s">
        <v>66</v>
      </c>
      <c r="H57" s="68"/>
      <c r="I57" s="58">
        <v>1.7299999999999998E-3</v>
      </c>
      <c r="J57" s="63">
        <v>11.324748499999998</v>
      </c>
      <c r="K57" s="25" t="s">
        <v>81</v>
      </c>
      <c r="L57" s="2"/>
    </row>
    <row r="58" spans="1:12" x14ac:dyDescent="0.35">
      <c r="B58" s="27" t="s">
        <v>24</v>
      </c>
      <c r="C58" s="2" t="s">
        <v>63</v>
      </c>
      <c r="D58" s="2" t="s">
        <v>90</v>
      </c>
      <c r="E58" s="2" t="s">
        <v>69</v>
      </c>
      <c r="F58" s="2"/>
      <c r="G58" s="2" t="s">
        <v>66</v>
      </c>
      <c r="H58" s="68"/>
      <c r="I58" s="58">
        <v>1.9500000000000001E-3</v>
      </c>
      <c r="J58" s="63">
        <v>11.324748499999998</v>
      </c>
      <c r="K58" s="25" t="s">
        <v>82</v>
      </c>
      <c r="L58" s="2"/>
    </row>
    <row r="59" spans="1:12" x14ac:dyDescent="0.35">
      <c r="B59" s="27" t="s">
        <v>24</v>
      </c>
      <c r="C59" s="2" t="s">
        <v>63</v>
      </c>
      <c r="D59" s="2" t="s">
        <v>90</v>
      </c>
      <c r="E59" s="2" t="s">
        <v>65</v>
      </c>
      <c r="F59" s="2"/>
      <c r="G59" s="2" t="s">
        <v>71</v>
      </c>
      <c r="H59" s="68"/>
      <c r="I59" s="58">
        <v>5.0000000000000001E-4</v>
      </c>
      <c r="J59" s="63">
        <v>11.324748499999998</v>
      </c>
      <c r="K59" s="25" t="s">
        <v>83</v>
      </c>
      <c r="L59" s="2"/>
    </row>
    <row r="60" spans="1:12" x14ac:dyDescent="0.35">
      <c r="B60" s="27" t="s">
        <v>24</v>
      </c>
      <c r="C60" s="2" t="s">
        <v>63</v>
      </c>
      <c r="D60" s="2" t="s">
        <v>90</v>
      </c>
      <c r="E60" s="2" t="s">
        <v>69</v>
      </c>
      <c r="F60" s="2"/>
      <c r="G60" s="2" t="s">
        <v>71</v>
      </c>
      <c r="H60" s="68"/>
      <c r="I60" s="58">
        <v>5.4000000000000001E-4</v>
      </c>
      <c r="J60" s="63">
        <v>11.324748499999998</v>
      </c>
      <c r="K60" s="25" t="s">
        <v>84</v>
      </c>
      <c r="L60" s="2"/>
    </row>
    <row r="61" spans="1:12" x14ac:dyDescent="0.35">
      <c r="B61" s="97" t="s">
        <v>24</v>
      </c>
      <c r="C61" s="98" t="s">
        <v>63</v>
      </c>
      <c r="D61" s="98" t="s">
        <v>90</v>
      </c>
      <c r="E61" s="98" t="s">
        <v>65</v>
      </c>
      <c r="F61" s="98"/>
      <c r="G61" s="98" t="s">
        <v>74</v>
      </c>
      <c r="H61" s="99"/>
      <c r="I61" s="100">
        <v>2.3000000000000001E-4</v>
      </c>
      <c r="J61" s="102">
        <v>11.324748499999998</v>
      </c>
      <c r="K61" s="101" t="s">
        <v>83</v>
      </c>
      <c r="L61" s="2"/>
    </row>
    <row r="62" spans="1:12" x14ac:dyDescent="0.35">
      <c r="B62" s="97" t="s">
        <v>24</v>
      </c>
      <c r="C62" s="98" t="s">
        <v>63</v>
      </c>
      <c r="D62" s="98" t="s">
        <v>90</v>
      </c>
      <c r="E62" s="98" t="s">
        <v>69</v>
      </c>
      <c r="F62" s="98"/>
      <c r="G62" s="98" t="s">
        <v>74</v>
      </c>
      <c r="H62" s="99"/>
      <c r="I62" s="100">
        <v>2.4000000000000001E-4</v>
      </c>
      <c r="J62" s="102">
        <v>11.324748499999998</v>
      </c>
      <c r="K62" s="101" t="s">
        <v>84</v>
      </c>
      <c r="L62" s="2"/>
    </row>
    <row r="63" spans="1:12" x14ac:dyDescent="0.35">
      <c r="B63" s="27" t="s">
        <v>24</v>
      </c>
      <c r="C63" s="2" t="s">
        <v>63</v>
      </c>
      <c r="D63" s="2" t="s">
        <v>91</v>
      </c>
      <c r="E63" s="2" t="s">
        <v>65</v>
      </c>
      <c r="F63" s="2"/>
      <c r="G63" s="2" t="s">
        <v>66</v>
      </c>
      <c r="H63" s="68"/>
      <c r="I63" s="58">
        <v>1.7299999999999998E-3</v>
      </c>
      <c r="J63" s="63">
        <v>2.5247485000000012</v>
      </c>
      <c r="K63" s="25" t="s">
        <v>76</v>
      </c>
      <c r="L63" s="2"/>
    </row>
    <row r="64" spans="1:12" x14ac:dyDescent="0.35">
      <c r="B64" s="27" t="s">
        <v>24</v>
      </c>
      <c r="C64" s="2" t="s">
        <v>63</v>
      </c>
      <c r="D64" s="2" t="s">
        <v>91</v>
      </c>
      <c r="E64" s="2" t="s">
        <v>69</v>
      </c>
      <c r="F64" s="2"/>
      <c r="G64" s="2" t="s">
        <v>66</v>
      </c>
      <c r="H64" s="68"/>
      <c r="I64" s="58">
        <v>1.9500000000000001E-3</v>
      </c>
      <c r="J64" s="63">
        <v>2.5247485000000012</v>
      </c>
      <c r="K64" s="25" t="s">
        <v>77</v>
      </c>
    </row>
    <row r="65" spans="1:11" x14ac:dyDescent="0.35">
      <c r="B65" s="27" t="s">
        <v>24</v>
      </c>
      <c r="C65" s="2" t="s">
        <v>63</v>
      </c>
      <c r="D65" s="2" t="s">
        <v>91</v>
      </c>
      <c r="E65" s="2" t="s">
        <v>65</v>
      </c>
      <c r="F65" s="2"/>
      <c r="G65" s="2" t="s">
        <v>71</v>
      </c>
      <c r="H65" s="68"/>
      <c r="I65" s="58">
        <v>5.0000000000000001E-4</v>
      </c>
      <c r="J65" s="63">
        <v>2.5247485000000012</v>
      </c>
      <c r="K65" s="25" t="s">
        <v>78</v>
      </c>
    </row>
    <row r="66" spans="1:11" x14ac:dyDescent="0.35">
      <c r="B66" s="27" t="s">
        <v>24</v>
      </c>
      <c r="C66" s="2" t="s">
        <v>63</v>
      </c>
      <c r="D66" s="2" t="s">
        <v>91</v>
      </c>
      <c r="E66" s="2" t="s">
        <v>69</v>
      </c>
      <c r="F66" s="2"/>
      <c r="G66" s="2" t="s">
        <v>71</v>
      </c>
      <c r="H66" s="68"/>
      <c r="I66" s="58">
        <v>5.4000000000000001E-4</v>
      </c>
      <c r="J66" s="63">
        <v>2.5247485000000012</v>
      </c>
      <c r="K66" s="25" t="s">
        <v>79</v>
      </c>
    </row>
    <row r="67" spans="1:11" x14ac:dyDescent="0.35">
      <c r="B67" s="97" t="s">
        <v>24</v>
      </c>
      <c r="C67" s="98" t="s">
        <v>63</v>
      </c>
      <c r="D67" s="98" t="s">
        <v>91</v>
      </c>
      <c r="E67" s="98" t="s">
        <v>65</v>
      </c>
      <c r="F67" s="98"/>
      <c r="G67" s="98" t="s">
        <v>74</v>
      </c>
      <c r="H67" s="99"/>
      <c r="I67" s="100">
        <v>2.3000000000000001E-4</v>
      </c>
      <c r="J67" s="102">
        <v>2.5247485000000012</v>
      </c>
      <c r="K67" s="101" t="s">
        <v>78</v>
      </c>
    </row>
    <row r="68" spans="1:11" x14ac:dyDescent="0.35">
      <c r="B68" s="97" t="s">
        <v>24</v>
      </c>
      <c r="C68" s="98" t="s">
        <v>63</v>
      </c>
      <c r="D68" s="98" t="s">
        <v>91</v>
      </c>
      <c r="E68" s="98" t="s">
        <v>69</v>
      </c>
      <c r="F68" s="98"/>
      <c r="G68" s="98" t="s">
        <v>74</v>
      </c>
      <c r="H68" s="99"/>
      <c r="I68" s="100">
        <v>2.4000000000000001E-4</v>
      </c>
      <c r="J68" s="102">
        <v>2.5247485000000012</v>
      </c>
      <c r="K68" s="101" t="s">
        <v>79</v>
      </c>
    </row>
    <row r="69" spans="1:11" x14ac:dyDescent="0.35">
      <c r="A69" s="67" t="s">
        <v>30</v>
      </c>
      <c r="B69" s="29"/>
      <c r="C69" s="33"/>
      <c r="D69" s="33"/>
      <c r="E69" s="33"/>
      <c r="F69" s="33"/>
      <c r="G69" s="33"/>
      <c r="H69" s="33"/>
      <c r="I69" s="72"/>
      <c r="J69" s="69"/>
      <c r="K69" s="18"/>
    </row>
    <row r="70" spans="1:11" x14ac:dyDescent="0.35">
      <c r="A70" s="43"/>
      <c r="B70" s="27" t="s">
        <v>30</v>
      </c>
      <c r="C70" s="2" t="s">
        <v>63</v>
      </c>
      <c r="D70" s="2" t="s">
        <v>64</v>
      </c>
      <c r="E70" s="2" t="s">
        <v>65</v>
      </c>
      <c r="F70" s="2"/>
      <c r="G70" s="2" t="s">
        <v>66</v>
      </c>
      <c r="H70" s="68"/>
      <c r="I70" s="58">
        <v>1.5E-3</v>
      </c>
      <c r="J70" s="63">
        <v>76.564748500000007</v>
      </c>
      <c r="K70" s="25" t="s">
        <v>92</v>
      </c>
    </row>
    <row r="71" spans="1:11" x14ac:dyDescent="0.35">
      <c r="A71" s="43"/>
      <c r="B71" s="27" t="s">
        <v>30</v>
      </c>
      <c r="C71" s="2" t="s">
        <v>63</v>
      </c>
      <c r="D71" s="2" t="s">
        <v>64</v>
      </c>
      <c r="E71" s="2" t="s">
        <v>69</v>
      </c>
      <c r="F71" s="2"/>
      <c r="G71" s="2" t="s">
        <v>66</v>
      </c>
      <c r="H71" s="68"/>
      <c r="I71" s="58">
        <v>1.7221350000000001E-3</v>
      </c>
      <c r="J71" s="63">
        <v>76.564748500000007</v>
      </c>
      <c r="K71" s="25" t="s">
        <v>93</v>
      </c>
    </row>
    <row r="72" spans="1:11" x14ac:dyDescent="0.35">
      <c r="A72" s="43"/>
      <c r="B72" s="27" t="s">
        <v>30</v>
      </c>
      <c r="C72" s="2" t="s">
        <v>63</v>
      </c>
      <c r="D72" s="2" t="s">
        <v>64</v>
      </c>
      <c r="E72" s="2" t="s">
        <v>65</v>
      </c>
      <c r="F72" s="2"/>
      <c r="G72" s="2" t="s">
        <v>71</v>
      </c>
      <c r="H72" s="68"/>
      <c r="I72" s="58">
        <v>8.0000000000000004E-4</v>
      </c>
      <c r="J72" s="63">
        <v>76.564748500000007</v>
      </c>
      <c r="K72" s="25" t="s">
        <v>94</v>
      </c>
    </row>
    <row r="73" spans="1:11" x14ac:dyDescent="0.35">
      <c r="A73" s="43"/>
      <c r="B73" s="27" t="s">
        <v>30</v>
      </c>
      <c r="C73" s="2" t="s">
        <v>63</v>
      </c>
      <c r="D73" s="2" t="s">
        <v>64</v>
      </c>
      <c r="E73" s="2" t="s">
        <v>69</v>
      </c>
      <c r="F73" s="2"/>
      <c r="G73" s="2" t="s">
        <v>71</v>
      </c>
      <c r="H73" s="68"/>
      <c r="I73" s="58">
        <v>8.9999999999999998E-4</v>
      </c>
      <c r="J73" s="63">
        <v>76.564748500000007</v>
      </c>
      <c r="K73" s="25" t="s">
        <v>95</v>
      </c>
    </row>
    <row r="74" spans="1:11" x14ac:dyDescent="0.35">
      <c r="A74" s="43"/>
      <c r="B74" s="97" t="s">
        <v>30</v>
      </c>
      <c r="C74" s="98" t="s">
        <v>63</v>
      </c>
      <c r="D74" s="98" t="s">
        <v>64</v>
      </c>
      <c r="E74" s="98" t="s">
        <v>65</v>
      </c>
      <c r="F74" s="98"/>
      <c r="G74" s="98" t="s">
        <v>74</v>
      </c>
      <c r="H74" s="99"/>
      <c r="I74" s="100">
        <v>2.9999999999999997E-4</v>
      </c>
      <c r="J74" s="102">
        <v>76.564748500000007</v>
      </c>
      <c r="K74" s="101" t="s">
        <v>94</v>
      </c>
    </row>
    <row r="75" spans="1:11" x14ac:dyDescent="0.35">
      <c r="A75" s="43"/>
      <c r="B75" s="97" t="s">
        <v>30</v>
      </c>
      <c r="C75" s="98" t="s">
        <v>63</v>
      </c>
      <c r="D75" s="98" t="s">
        <v>64</v>
      </c>
      <c r="E75" s="98" t="s">
        <v>69</v>
      </c>
      <c r="F75" s="98"/>
      <c r="G75" s="98" t="s">
        <v>74</v>
      </c>
      <c r="H75" s="99"/>
      <c r="I75" s="100">
        <v>2.9999999999999997E-4</v>
      </c>
      <c r="J75" s="102">
        <v>76.564748500000007</v>
      </c>
      <c r="K75" s="101" t="s">
        <v>95</v>
      </c>
    </row>
    <row r="76" spans="1:11" x14ac:dyDescent="0.35">
      <c r="A76" s="43"/>
      <c r="B76" s="27" t="s">
        <v>30</v>
      </c>
      <c r="C76" s="2" t="s">
        <v>63</v>
      </c>
      <c r="D76" s="2" t="s">
        <v>131</v>
      </c>
      <c r="E76" s="2" t="s">
        <v>65</v>
      </c>
      <c r="F76" s="2"/>
      <c r="G76" s="2" t="s">
        <v>66</v>
      </c>
      <c r="H76" s="68"/>
      <c r="I76" s="58">
        <v>2.3E-3</v>
      </c>
      <c r="J76" s="63">
        <v>47.924748500000007</v>
      </c>
      <c r="K76" s="25" t="s">
        <v>137</v>
      </c>
    </row>
    <row r="77" spans="1:11" x14ac:dyDescent="0.35">
      <c r="A77" s="43"/>
      <c r="B77" s="27" t="s">
        <v>30</v>
      </c>
      <c r="C77" s="2" t="s">
        <v>63</v>
      </c>
      <c r="D77" s="2" t="s">
        <v>131</v>
      </c>
      <c r="E77" s="2" t="s">
        <v>69</v>
      </c>
      <c r="F77" s="2"/>
      <c r="G77" s="2" t="s">
        <v>66</v>
      </c>
      <c r="H77" s="68"/>
      <c r="I77" s="58">
        <v>2.5902724000000004E-3</v>
      </c>
      <c r="J77" s="63">
        <v>47.924748500000007</v>
      </c>
      <c r="K77" s="25" t="s">
        <v>138</v>
      </c>
    </row>
    <row r="78" spans="1:11" x14ac:dyDescent="0.35">
      <c r="A78" s="43"/>
      <c r="B78" s="27" t="s">
        <v>30</v>
      </c>
      <c r="C78" s="2" t="s">
        <v>63</v>
      </c>
      <c r="D78" s="2" t="s">
        <v>131</v>
      </c>
      <c r="E78" s="2" t="s">
        <v>65</v>
      </c>
      <c r="F78" s="2"/>
      <c r="G78" s="2" t="s">
        <v>71</v>
      </c>
      <c r="H78" s="68"/>
      <c r="I78" s="58">
        <v>6.9999999999999999E-4</v>
      </c>
      <c r="J78" s="63">
        <v>47.924748500000007</v>
      </c>
      <c r="K78" s="25" t="s">
        <v>139</v>
      </c>
    </row>
    <row r="79" spans="1:11" x14ac:dyDescent="0.35">
      <c r="A79" s="43"/>
      <c r="B79" s="27" t="s">
        <v>30</v>
      </c>
      <c r="C79" s="2" t="s">
        <v>63</v>
      </c>
      <c r="D79" s="2" t="s">
        <v>131</v>
      </c>
      <c r="E79" s="2" t="s">
        <v>69</v>
      </c>
      <c r="F79" s="2"/>
      <c r="G79" s="2" t="s">
        <v>71</v>
      </c>
      <c r="H79" s="68"/>
      <c r="I79" s="58">
        <v>8.0000000000000004E-4</v>
      </c>
      <c r="J79" s="63">
        <v>47.924748500000007</v>
      </c>
      <c r="K79" s="25" t="s">
        <v>140</v>
      </c>
    </row>
    <row r="80" spans="1:11" x14ac:dyDescent="0.35">
      <c r="A80" s="43"/>
      <c r="B80" s="97" t="s">
        <v>30</v>
      </c>
      <c r="C80" s="98" t="s">
        <v>63</v>
      </c>
      <c r="D80" s="98" t="s">
        <v>131</v>
      </c>
      <c r="E80" s="98" t="s">
        <v>65</v>
      </c>
      <c r="F80" s="98"/>
      <c r="G80" s="98" t="s">
        <v>74</v>
      </c>
      <c r="H80" s="99"/>
      <c r="I80" s="100">
        <v>2.9999999999999997E-4</v>
      </c>
      <c r="J80" s="63">
        <v>47.924748500000007</v>
      </c>
      <c r="K80" s="101" t="s">
        <v>139</v>
      </c>
    </row>
    <row r="81" spans="1:11" x14ac:dyDescent="0.35">
      <c r="A81" s="43"/>
      <c r="B81" s="97" t="s">
        <v>30</v>
      </c>
      <c r="C81" s="98" t="s">
        <v>63</v>
      </c>
      <c r="D81" s="98" t="s">
        <v>131</v>
      </c>
      <c r="E81" s="98" t="s">
        <v>69</v>
      </c>
      <c r="F81" s="98"/>
      <c r="G81" s="98" t="s">
        <v>74</v>
      </c>
      <c r="H81" s="99"/>
      <c r="I81" s="100">
        <v>2.9999999999999997E-4</v>
      </c>
      <c r="J81" s="63">
        <v>47.924748500000007</v>
      </c>
      <c r="K81" s="101" t="s">
        <v>140</v>
      </c>
    </row>
    <row r="82" spans="1:11" x14ac:dyDescent="0.35">
      <c r="A82" s="43"/>
      <c r="B82" s="27" t="s">
        <v>30</v>
      </c>
      <c r="C82" s="2" t="s">
        <v>63</v>
      </c>
      <c r="D82" s="2" t="s">
        <v>75</v>
      </c>
      <c r="E82" s="2" t="s">
        <v>65</v>
      </c>
      <c r="F82" s="2"/>
      <c r="G82" s="2" t="s">
        <v>66</v>
      </c>
      <c r="H82" s="68"/>
      <c r="I82" s="58">
        <v>1.7799999999999999E-3</v>
      </c>
      <c r="J82" s="63">
        <v>8.1247485000000026</v>
      </c>
      <c r="K82" s="25" t="s">
        <v>96</v>
      </c>
    </row>
    <row r="83" spans="1:11" x14ac:dyDescent="0.35">
      <c r="A83" s="70"/>
      <c r="B83" s="27" t="s">
        <v>30</v>
      </c>
      <c r="C83" s="2" t="s">
        <v>63</v>
      </c>
      <c r="D83" s="2" t="s">
        <v>75</v>
      </c>
      <c r="E83" s="2" t="s">
        <v>69</v>
      </c>
      <c r="F83" s="2"/>
      <c r="G83" s="2" t="s">
        <v>66</v>
      </c>
      <c r="H83" s="68"/>
      <c r="I83" s="58">
        <v>2.0300000000000001E-3</v>
      </c>
      <c r="J83" s="63">
        <v>8.1247485000000026</v>
      </c>
      <c r="K83" s="25" t="s">
        <v>97</v>
      </c>
    </row>
    <row r="84" spans="1:11" x14ac:dyDescent="0.35">
      <c r="A84" s="43"/>
      <c r="B84" s="27" t="s">
        <v>30</v>
      </c>
      <c r="C84" s="2" t="s">
        <v>63</v>
      </c>
      <c r="D84" s="2" t="s">
        <v>75</v>
      </c>
      <c r="E84" s="2" t="s">
        <v>65</v>
      </c>
      <c r="F84" s="2"/>
      <c r="G84" s="2" t="s">
        <v>71</v>
      </c>
      <c r="H84" s="68"/>
      <c r="I84" s="58">
        <v>9.5E-4</v>
      </c>
      <c r="J84" s="63">
        <v>8.1247485000000026</v>
      </c>
      <c r="K84" s="25" t="s">
        <v>98</v>
      </c>
    </row>
    <row r="85" spans="1:11" x14ac:dyDescent="0.35">
      <c r="A85" s="43"/>
      <c r="B85" s="27" t="s">
        <v>30</v>
      </c>
      <c r="C85" s="2" t="s">
        <v>63</v>
      </c>
      <c r="D85" s="2" t="s">
        <v>75</v>
      </c>
      <c r="E85" s="2" t="s">
        <v>69</v>
      </c>
      <c r="F85" s="2"/>
      <c r="G85" s="2" t="s">
        <v>71</v>
      </c>
      <c r="H85" s="68"/>
      <c r="I85" s="58">
        <v>1.06E-3</v>
      </c>
      <c r="J85" s="63">
        <v>8.1247485000000026</v>
      </c>
      <c r="K85" s="25" t="s">
        <v>99</v>
      </c>
    </row>
    <row r="86" spans="1:11" x14ac:dyDescent="0.35">
      <c r="A86" s="43"/>
      <c r="B86" s="97" t="s">
        <v>30</v>
      </c>
      <c r="C86" s="98" t="s">
        <v>63</v>
      </c>
      <c r="D86" s="98" t="s">
        <v>75</v>
      </c>
      <c r="E86" s="98" t="s">
        <v>65</v>
      </c>
      <c r="F86" s="98"/>
      <c r="G86" s="98" t="s">
        <v>74</v>
      </c>
      <c r="H86" s="99"/>
      <c r="I86" s="100">
        <v>2.1999999999999998E-4</v>
      </c>
      <c r="J86" s="102">
        <v>8.1247485000000026</v>
      </c>
      <c r="K86" s="101" t="s">
        <v>98</v>
      </c>
    </row>
    <row r="87" spans="1:11" x14ac:dyDescent="0.35">
      <c r="A87" s="43"/>
      <c r="B87" s="97" t="s">
        <v>30</v>
      </c>
      <c r="C87" s="98" t="s">
        <v>63</v>
      </c>
      <c r="D87" s="98" t="s">
        <v>75</v>
      </c>
      <c r="E87" s="98" t="s">
        <v>69</v>
      </c>
      <c r="F87" s="98"/>
      <c r="G87" s="98" t="s">
        <v>74</v>
      </c>
      <c r="H87" s="99"/>
      <c r="I87" s="100">
        <v>2.4000000000000001E-4</v>
      </c>
      <c r="J87" s="102">
        <v>8.1247485000000026</v>
      </c>
      <c r="K87" s="101" t="s">
        <v>99</v>
      </c>
    </row>
    <row r="88" spans="1:11" x14ac:dyDescent="0.35">
      <c r="B88" s="27" t="s">
        <v>30</v>
      </c>
      <c r="C88" s="2" t="s">
        <v>63</v>
      </c>
      <c r="D88" s="2" t="s">
        <v>80</v>
      </c>
      <c r="E88" s="2" t="s">
        <v>65</v>
      </c>
      <c r="F88" s="2"/>
      <c r="G88" s="2" t="s">
        <v>66</v>
      </c>
      <c r="H88" s="68"/>
      <c r="I88" s="58">
        <v>1.7799999999999999E-3</v>
      </c>
      <c r="J88" s="63">
        <v>11.324748499999998</v>
      </c>
      <c r="K88" s="25" t="s">
        <v>100</v>
      </c>
    </row>
    <row r="89" spans="1:11" x14ac:dyDescent="0.35">
      <c r="B89" s="27" t="s">
        <v>30</v>
      </c>
      <c r="C89" s="2" t="s">
        <v>63</v>
      </c>
      <c r="D89" s="2" t="s">
        <v>80</v>
      </c>
      <c r="E89" s="2" t="s">
        <v>69</v>
      </c>
      <c r="F89" s="2"/>
      <c r="G89" s="2" t="s">
        <v>66</v>
      </c>
      <c r="H89" s="68"/>
      <c r="I89" s="58">
        <v>2.0300000000000001E-3</v>
      </c>
      <c r="J89" s="63">
        <v>11.324748499999998</v>
      </c>
      <c r="K89" s="25" t="s">
        <v>101</v>
      </c>
    </row>
    <row r="90" spans="1:11" x14ac:dyDescent="0.35">
      <c r="B90" s="27" t="s">
        <v>30</v>
      </c>
      <c r="C90" s="2" t="s">
        <v>63</v>
      </c>
      <c r="D90" s="2" t="s">
        <v>80</v>
      </c>
      <c r="E90" s="2" t="s">
        <v>65</v>
      </c>
      <c r="F90" s="2"/>
      <c r="G90" s="2" t="s">
        <v>71</v>
      </c>
      <c r="H90" s="68"/>
      <c r="I90" s="58">
        <v>9.5E-4</v>
      </c>
      <c r="J90" s="63">
        <v>11.324748499999998</v>
      </c>
      <c r="K90" s="25" t="s">
        <v>102</v>
      </c>
    </row>
    <row r="91" spans="1:11" x14ac:dyDescent="0.35">
      <c r="B91" s="27" t="s">
        <v>30</v>
      </c>
      <c r="C91" s="2" t="s">
        <v>63</v>
      </c>
      <c r="D91" s="2" t="s">
        <v>80</v>
      </c>
      <c r="E91" s="2" t="s">
        <v>69</v>
      </c>
      <c r="F91" s="2"/>
      <c r="G91" s="2" t="s">
        <v>71</v>
      </c>
      <c r="H91" s="68"/>
      <c r="I91" s="58">
        <v>1.06E-3</v>
      </c>
      <c r="J91" s="63">
        <v>11.324748499999998</v>
      </c>
      <c r="K91" s="25" t="s">
        <v>103</v>
      </c>
    </row>
    <row r="92" spans="1:11" x14ac:dyDescent="0.35">
      <c r="B92" s="97" t="s">
        <v>30</v>
      </c>
      <c r="C92" s="98" t="s">
        <v>63</v>
      </c>
      <c r="D92" s="98" t="s">
        <v>80</v>
      </c>
      <c r="E92" s="98" t="s">
        <v>65</v>
      </c>
      <c r="F92" s="98"/>
      <c r="G92" s="98" t="s">
        <v>74</v>
      </c>
      <c r="H92" s="99"/>
      <c r="I92" s="100">
        <v>2.1999999999999998E-4</v>
      </c>
      <c r="J92" s="102">
        <v>11.324748499999998</v>
      </c>
      <c r="K92" s="101" t="s">
        <v>102</v>
      </c>
    </row>
    <row r="93" spans="1:11" x14ac:dyDescent="0.35">
      <c r="B93" s="97" t="s">
        <v>30</v>
      </c>
      <c r="C93" s="98" t="s">
        <v>63</v>
      </c>
      <c r="D93" s="98" t="s">
        <v>80</v>
      </c>
      <c r="E93" s="98" t="s">
        <v>69</v>
      </c>
      <c r="F93" s="98"/>
      <c r="G93" s="98" t="s">
        <v>74</v>
      </c>
      <c r="H93" s="99"/>
      <c r="I93" s="100">
        <v>2.4000000000000001E-4</v>
      </c>
      <c r="J93" s="102">
        <v>11.324748499999998</v>
      </c>
      <c r="K93" s="101" t="s">
        <v>103</v>
      </c>
    </row>
    <row r="94" spans="1:11" x14ac:dyDescent="0.35">
      <c r="B94" s="27" t="s">
        <v>30</v>
      </c>
      <c r="C94" s="2" t="s">
        <v>63</v>
      </c>
      <c r="D94" s="2" t="s">
        <v>85</v>
      </c>
      <c r="E94" s="2" t="s">
        <v>65</v>
      </c>
      <c r="F94" s="2"/>
      <c r="G94" s="2" t="s">
        <v>66</v>
      </c>
      <c r="H94" s="68"/>
      <c r="I94" s="58">
        <v>1.7799999999999999E-3</v>
      </c>
      <c r="J94" s="63">
        <v>1.6247485000000026</v>
      </c>
      <c r="K94" s="25" t="s">
        <v>96</v>
      </c>
    </row>
    <row r="95" spans="1:11" x14ac:dyDescent="0.35">
      <c r="B95" s="27" t="s">
        <v>30</v>
      </c>
      <c r="C95" s="2" t="s">
        <v>63</v>
      </c>
      <c r="D95" s="2" t="s">
        <v>85</v>
      </c>
      <c r="E95" s="2" t="s">
        <v>69</v>
      </c>
      <c r="F95" s="2"/>
      <c r="G95" s="2" t="s">
        <v>66</v>
      </c>
      <c r="H95" s="68"/>
      <c r="I95" s="58">
        <v>2.0300000000000001E-3</v>
      </c>
      <c r="J95" s="63">
        <v>1.6247485000000026</v>
      </c>
      <c r="K95" s="25" t="s">
        <v>97</v>
      </c>
    </row>
    <row r="96" spans="1:11" x14ac:dyDescent="0.35">
      <c r="B96" s="27" t="s">
        <v>30</v>
      </c>
      <c r="C96" s="2" t="s">
        <v>63</v>
      </c>
      <c r="D96" s="2" t="s">
        <v>85</v>
      </c>
      <c r="E96" s="2" t="s">
        <v>65</v>
      </c>
      <c r="F96" s="2"/>
      <c r="G96" s="2" t="s">
        <v>71</v>
      </c>
      <c r="H96" s="68"/>
      <c r="I96" s="58">
        <v>9.5E-4</v>
      </c>
      <c r="J96" s="63">
        <v>1.6247485000000026</v>
      </c>
      <c r="K96" s="25" t="s">
        <v>98</v>
      </c>
    </row>
    <row r="97" spans="1:11" x14ac:dyDescent="0.35">
      <c r="B97" s="27" t="s">
        <v>30</v>
      </c>
      <c r="C97" s="2" t="s">
        <v>63</v>
      </c>
      <c r="D97" s="2" t="s">
        <v>85</v>
      </c>
      <c r="E97" s="2" t="s">
        <v>69</v>
      </c>
      <c r="F97" s="2"/>
      <c r="G97" s="2" t="s">
        <v>71</v>
      </c>
      <c r="H97" s="68"/>
      <c r="I97" s="58">
        <v>1.06E-3</v>
      </c>
      <c r="J97" s="63">
        <v>1.6247485000000026</v>
      </c>
      <c r="K97" s="25" t="s">
        <v>99</v>
      </c>
    </row>
    <row r="98" spans="1:11" x14ac:dyDescent="0.35">
      <c r="B98" s="97" t="s">
        <v>30</v>
      </c>
      <c r="C98" s="98" t="s">
        <v>63</v>
      </c>
      <c r="D98" s="98" t="s">
        <v>85</v>
      </c>
      <c r="E98" s="98" t="s">
        <v>65</v>
      </c>
      <c r="F98" s="98"/>
      <c r="G98" s="98" t="s">
        <v>74</v>
      </c>
      <c r="H98" s="99"/>
      <c r="I98" s="100">
        <v>2.1999999999999998E-4</v>
      </c>
      <c r="J98" s="102">
        <v>1.6247485000000026</v>
      </c>
      <c r="K98" s="101" t="s">
        <v>98</v>
      </c>
    </row>
    <row r="99" spans="1:11" x14ac:dyDescent="0.35">
      <c r="B99" s="97" t="s">
        <v>30</v>
      </c>
      <c r="C99" s="98" t="s">
        <v>63</v>
      </c>
      <c r="D99" s="98" t="s">
        <v>85</v>
      </c>
      <c r="E99" s="98" t="s">
        <v>69</v>
      </c>
      <c r="F99" s="98"/>
      <c r="G99" s="98" t="s">
        <v>74</v>
      </c>
      <c r="H99" s="99"/>
      <c r="I99" s="100">
        <v>2.4000000000000001E-4</v>
      </c>
      <c r="J99" s="102">
        <v>1.6247485000000026</v>
      </c>
      <c r="K99" s="101" t="s">
        <v>99</v>
      </c>
    </row>
    <row r="100" spans="1:11" x14ac:dyDescent="0.35">
      <c r="B100" s="27" t="s">
        <v>30</v>
      </c>
      <c r="C100" s="2" t="s">
        <v>63</v>
      </c>
      <c r="D100" s="2" t="s">
        <v>86</v>
      </c>
      <c r="E100" s="2" t="s">
        <v>65</v>
      </c>
      <c r="F100" s="2"/>
      <c r="G100" s="2" t="s">
        <v>66</v>
      </c>
      <c r="H100" s="68"/>
      <c r="I100" s="58">
        <v>1.66E-3</v>
      </c>
      <c r="J100" s="63">
        <v>8.1247485000000026</v>
      </c>
      <c r="K100" s="25" t="s">
        <v>96</v>
      </c>
    </row>
    <row r="101" spans="1:11" x14ac:dyDescent="0.35">
      <c r="B101" s="27" t="s">
        <v>30</v>
      </c>
      <c r="C101" s="2" t="s">
        <v>63</v>
      </c>
      <c r="D101" s="2" t="s">
        <v>86</v>
      </c>
      <c r="E101" s="2" t="s">
        <v>69</v>
      </c>
      <c r="F101" s="2"/>
      <c r="G101" s="2" t="s">
        <v>66</v>
      </c>
      <c r="H101" s="68"/>
      <c r="I101" s="58">
        <v>1.89999999999999E-3</v>
      </c>
      <c r="J101" s="63">
        <v>8.1247485000000026</v>
      </c>
      <c r="K101" s="25" t="s">
        <v>97</v>
      </c>
    </row>
    <row r="102" spans="1:11" x14ac:dyDescent="0.35">
      <c r="A102" s="71"/>
      <c r="B102" s="27" t="s">
        <v>30</v>
      </c>
      <c r="C102" s="2" t="s">
        <v>63</v>
      </c>
      <c r="D102" s="2" t="s">
        <v>86</v>
      </c>
      <c r="E102" s="2" t="s">
        <v>65</v>
      </c>
      <c r="F102" s="2"/>
      <c r="G102" s="2" t="s">
        <v>71</v>
      </c>
      <c r="H102" s="68"/>
      <c r="I102" s="58">
        <v>9.6000000000000002E-4</v>
      </c>
      <c r="J102" s="63">
        <v>8.1247485000000026</v>
      </c>
      <c r="K102" s="25" t="s">
        <v>98</v>
      </c>
    </row>
    <row r="103" spans="1:11" x14ac:dyDescent="0.35">
      <c r="A103" s="71"/>
      <c r="B103" s="27" t="s">
        <v>30</v>
      </c>
      <c r="C103" s="2" t="s">
        <v>63</v>
      </c>
      <c r="D103" s="2" t="s">
        <v>86</v>
      </c>
      <c r="E103" s="2" t="s">
        <v>69</v>
      </c>
      <c r="F103" s="2"/>
      <c r="G103" s="2" t="s">
        <v>71</v>
      </c>
      <c r="H103" s="68"/>
      <c r="I103" s="58">
        <v>1.07E-3</v>
      </c>
      <c r="J103" s="63">
        <v>8.1247485000000026</v>
      </c>
      <c r="K103" s="25" t="s">
        <v>99</v>
      </c>
    </row>
    <row r="104" spans="1:11" x14ac:dyDescent="0.35">
      <c r="A104" s="71"/>
      <c r="B104" s="97" t="s">
        <v>30</v>
      </c>
      <c r="C104" s="98" t="s">
        <v>63</v>
      </c>
      <c r="D104" s="98" t="s">
        <v>86</v>
      </c>
      <c r="E104" s="98" t="s">
        <v>65</v>
      </c>
      <c r="F104" s="98"/>
      <c r="G104" s="98" t="s">
        <v>74</v>
      </c>
      <c r="H104" s="99"/>
      <c r="I104" s="100">
        <v>2.1999999999999998E-4</v>
      </c>
      <c r="J104" s="102">
        <v>8.1247485000000026</v>
      </c>
      <c r="K104" s="101" t="s">
        <v>98</v>
      </c>
    </row>
    <row r="105" spans="1:11" x14ac:dyDescent="0.35">
      <c r="A105" s="71"/>
      <c r="B105" s="97" t="s">
        <v>30</v>
      </c>
      <c r="C105" s="98" t="s">
        <v>63</v>
      </c>
      <c r="D105" s="98" t="s">
        <v>86</v>
      </c>
      <c r="E105" s="98" t="s">
        <v>69</v>
      </c>
      <c r="F105" s="98"/>
      <c r="G105" s="98" t="s">
        <v>74</v>
      </c>
      <c r="H105" s="99"/>
      <c r="I105" s="100">
        <v>2.4000000000000001E-4</v>
      </c>
      <c r="J105" s="102">
        <v>8.1247485000000026</v>
      </c>
      <c r="K105" s="101" t="s">
        <v>99</v>
      </c>
    </row>
    <row r="106" spans="1:11" x14ac:dyDescent="0.35">
      <c r="B106" s="27" t="s">
        <v>30</v>
      </c>
      <c r="C106" s="2" t="s">
        <v>63</v>
      </c>
      <c r="D106" s="2" t="s">
        <v>87</v>
      </c>
      <c r="E106" s="2" t="s">
        <v>65</v>
      </c>
      <c r="F106" s="2"/>
      <c r="G106" s="2" t="s">
        <v>66</v>
      </c>
      <c r="H106" s="68"/>
      <c r="I106" s="58">
        <v>1.66E-3</v>
      </c>
      <c r="J106" s="63">
        <v>11.324748499999998</v>
      </c>
      <c r="K106" s="25" t="s">
        <v>100</v>
      </c>
    </row>
    <row r="107" spans="1:11" x14ac:dyDescent="0.35">
      <c r="B107" s="27" t="s">
        <v>30</v>
      </c>
      <c r="C107" s="2" t="s">
        <v>63</v>
      </c>
      <c r="D107" s="2" t="s">
        <v>87</v>
      </c>
      <c r="E107" s="2" t="s">
        <v>69</v>
      </c>
      <c r="F107" s="2"/>
      <c r="G107" s="2" t="s">
        <v>66</v>
      </c>
      <c r="H107" s="68"/>
      <c r="I107" s="58">
        <v>1.89999999999999E-3</v>
      </c>
      <c r="J107" s="63">
        <v>11.324748499999998</v>
      </c>
      <c r="K107" s="25" t="s">
        <v>101</v>
      </c>
    </row>
    <row r="108" spans="1:11" x14ac:dyDescent="0.35">
      <c r="B108" s="27" t="s">
        <v>30</v>
      </c>
      <c r="C108" s="2" t="s">
        <v>63</v>
      </c>
      <c r="D108" s="2" t="s">
        <v>87</v>
      </c>
      <c r="E108" s="2" t="s">
        <v>65</v>
      </c>
      <c r="F108" s="2"/>
      <c r="G108" s="2" t="s">
        <v>71</v>
      </c>
      <c r="H108" s="68"/>
      <c r="I108" s="58">
        <v>9.6000000000000002E-4</v>
      </c>
      <c r="J108" s="63">
        <v>11.324748499999998</v>
      </c>
      <c r="K108" s="25" t="s">
        <v>102</v>
      </c>
    </row>
    <row r="109" spans="1:11" x14ac:dyDescent="0.35">
      <c r="B109" s="27" t="s">
        <v>30</v>
      </c>
      <c r="C109" s="2" t="s">
        <v>63</v>
      </c>
      <c r="D109" s="2" t="s">
        <v>87</v>
      </c>
      <c r="E109" s="2" t="s">
        <v>69</v>
      </c>
      <c r="F109" s="2"/>
      <c r="G109" s="2" t="s">
        <v>71</v>
      </c>
      <c r="H109" s="68"/>
      <c r="I109" s="58">
        <v>1.07E-3</v>
      </c>
      <c r="J109" s="63">
        <v>11.324748499999998</v>
      </c>
      <c r="K109" s="25" t="s">
        <v>103</v>
      </c>
    </row>
    <row r="110" spans="1:11" x14ac:dyDescent="0.35">
      <c r="B110" s="97" t="s">
        <v>30</v>
      </c>
      <c r="C110" s="98" t="s">
        <v>63</v>
      </c>
      <c r="D110" s="98" t="s">
        <v>87</v>
      </c>
      <c r="E110" s="98" t="s">
        <v>65</v>
      </c>
      <c r="F110" s="98"/>
      <c r="G110" s="98" t="s">
        <v>74</v>
      </c>
      <c r="H110" s="99"/>
      <c r="I110" s="100">
        <v>2.1999999999999998E-4</v>
      </c>
      <c r="J110" s="102">
        <v>11.324748499999998</v>
      </c>
      <c r="K110" s="101" t="s">
        <v>102</v>
      </c>
    </row>
    <row r="111" spans="1:11" x14ac:dyDescent="0.35">
      <c r="B111" s="97" t="s">
        <v>30</v>
      </c>
      <c r="C111" s="98" t="s">
        <v>63</v>
      </c>
      <c r="D111" s="98" t="s">
        <v>87</v>
      </c>
      <c r="E111" s="98" t="s">
        <v>69</v>
      </c>
      <c r="F111" s="98"/>
      <c r="G111" s="98" t="s">
        <v>74</v>
      </c>
      <c r="H111" s="99"/>
      <c r="I111" s="100">
        <v>2.4000000000000001E-4</v>
      </c>
      <c r="J111" s="102">
        <v>11.324748499999998</v>
      </c>
      <c r="K111" s="101" t="s">
        <v>103</v>
      </c>
    </row>
    <row r="112" spans="1:11" x14ac:dyDescent="0.35">
      <c r="B112" s="27" t="s">
        <v>30</v>
      </c>
      <c r="C112" s="2" t="s">
        <v>63</v>
      </c>
      <c r="D112" s="2" t="s">
        <v>88</v>
      </c>
      <c r="E112" s="2" t="s">
        <v>65</v>
      </c>
      <c r="F112" s="2"/>
      <c r="G112" s="2" t="s">
        <v>66</v>
      </c>
      <c r="H112" s="68"/>
      <c r="I112" s="58">
        <v>1.66E-3</v>
      </c>
      <c r="J112" s="63">
        <v>1.6247485000000026</v>
      </c>
      <c r="K112" s="25" t="s">
        <v>96</v>
      </c>
    </row>
    <row r="113" spans="2:11" x14ac:dyDescent="0.35">
      <c r="B113" s="27" t="s">
        <v>30</v>
      </c>
      <c r="C113" s="2" t="s">
        <v>63</v>
      </c>
      <c r="D113" s="2" t="s">
        <v>88</v>
      </c>
      <c r="E113" s="2" t="s">
        <v>69</v>
      </c>
      <c r="F113" s="2"/>
      <c r="G113" s="2" t="s">
        <v>66</v>
      </c>
      <c r="H113" s="68"/>
      <c r="I113" s="58">
        <v>1.89999999999999E-3</v>
      </c>
      <c r="J113" s="63">
        <v>1.6247485000000026</v>
      </c>
      <c r="K113" s="25" t="s">
        <v>97</v>
      </c>
    </row>
    <row r="114" spans="2:11" x14ac:dyDescent="0.35">
      <c r="B114" s="27" t="s">
        <v>30</v>
      </c>
      <c r="C114" s="2" t="s">
        <v>63</v>
      </c>
      <c r="D114" s="2" t="s">
        <v>88</v>
      </c>
      <c r="E114" s="2" t="s">
        <v>65</v>
      </c>
      <c r="F114" s="2"/>
      <c r="G114" s="2" t="s">
        <v>71</v>
      </c>
      <c r="H114" s="68"/>
      <c r="I114" s="58">
        <v>9.6000000000000002E-4</v>
      </c>
      <c r="J114" s="63">
        <v>1.6247485000000026</v>
      </c>
      <c r="K114" s="25" t="s">
        <v>98</v>
      </c>
    </row>
    <row r="115" spans="2:11" x14ac:dyDescent="0.35">
      <c r="B115" s="27" t="s">
        <v>30</v>
      </c>
      <c r="C115" s="2" t="s">
        <v>63</v>
      </c>
      <c r="D115" s="2" t="s">
        <v>88</v>
      </c>
      <c r="E115" s="2" t="s">
        <v>69</v>
      </c>
      <c r="F115" s="2"/>
      <c r="G115" s="2" t="s">
        <v>71</v>
      </c>
      <c r="H115" s="68"/>
      <c r="I115" s="58">
        <v>1.07E-3</v>
      </c>
      <c r="J115" s="63">
        <v>1.6247485000000026</v>
      </c>
      <c r="K115" s="25" t="s">
        <v>99</v>
      </c>
    </row>
    <row r="116" spans="2:11" x14ac:dyDescent="0.35">
      <c r="B116" s="97" t="s">
        <v>30</v>
      </c>
      <c r="C116" s="98" t="s">
        <v>63</v>
      </c>
      <c r="D116" s="98" t="s">
        <v>88</v>
      </c>
      <c r="E116" s="98" t="s">
        <v>65</v>
      </c>
      <c r="F116" s="98"/>
      <c r="G116" s="98" t="s">
        <v>74</v>
      </c>
      <c r="H116" s="99"/>
      <c r="I116" s="100">
        <v>2.1999999999999998E-4</v>
      </c>
      <c r="J116" s="102">
        <v>1.6247485000000026</v>
      </c>
      <c r="K116" s="101" t="s">
        <v>98</v>
      </c>
    </row>
    <row r="117" spans="2:11" x14ac:dyDescent="0.35">
      <c r="B117" s="97" t="s">
        <v>30</v>
      </c>
      <c r="C117" s="98" t="s">
        <v>63</v>
      </c>
      <c r="D117" s="98" t="s">
        <v>88</v>
      </c>
      <c r="E117" s="98" t="s">
        <v>69</v>
      </c>
      <c r="F117" s="98"/>
      <c r="G117" s="98" t="s">
        <v>74</v>
      </c>
      <c r="H117" s="99"/>
      <c r="I117" s="100">
        <v>2.4000000000000001E-4</v>
      </c>
      <c r="J117" s="102">
        <v>1.6247485000000026</v>
      </c>
      <c r="K117" s="101" t="s">
        <v>99</v>
      </c>
    </row>
    <row r="118" spans="2:11" x14ac:dyDescent="0.35">
      <c r="B118" s="27" t="s">
        <v>30</v>
      </c>
      <c r="C118" s="2" t="s">
        <v>63</v>
      </c>
      <c r="D118" s="2" t="s">
        <v>89</v>
      </c>
      <c r="E118" s="2" t="s">
        <v>65</v>
      </c>
      <c r="F118" s="2"/>
      <c r="G118" s="2" t="s">
        <v>66</v>
      </c>
      <c r="H118" s="68"/>
      <c r="I118" s="58">
        <v>1.7100000000000001E-3</v>
      </c>
      <c r="J118" s="63">
        <v>7.6247485000000026</v>
      </c>
      <c r="K118" s="25" t="s">
        <v>96</v>
      </c>
    </row>
    <row r="119" spans="2:11" x14ac:dyDescent="0.35">
      <c r="B119" s="27" t="s">
        <v>30</v>
      </c>
      <c r="C119" s="2" t="s">
        <v>63</v>
      </c>
      <c r="D119" s="2" t="s">
        <v>89</v>
      </c>
      <c r="E119" s="2" t="s">
        <v>69</v>
      </c>
      <c r="F119" s="2"/>
      <c r="G119" s="2" t="s">
        <v>66</v>
      </c>
      <c r="H119" s="68"/>
      <c r="I119" s="58">
        <v>1.9499999999999902E-3</v>
      </c>
      <c r="J119" s="63">
        <v>7.6247485000000026</v>
      </c>
      <c r="K119" s="25" t="s">
        <v>97</v>
      </c>
    </row>
    <row r="120" spans="2:11" x14ac:dyDescent="0.35">
      <c r="B120" s="27" t="s">
        <v>30</v>
      </c>
      <c r="C120" s="2" t="s">
        <v>63</v>
      </c>
      <c r="D120" s="2" t="s">
        <v>89</v>
      </c>
      <c r="E120" s="2" t="s">
        <v>65</v>
      </c>
      <c r="F120" s="2"/>
      <c r="G120" s="2" t="s">
        <v>71</v>
      </c>
      <c r="H120" s="68"/>
      <c r="I120" s="58">
        <v>9.5E-4</v>
      </c>
      <c r="J120" s="63">
        <v>7.6247485000000026</v>
      </c>
      <c r="K120" s="25" t="s">
        <v>98</v>
      </c>
    </row>
    <row r="121" spans="2:11" x14ac:dyDescent="0.35">
      <c r="B121" s="27" t="s">
        <v>30</v>
      </c>
      <c r="C121" s="2" t="s">
        <v>63</v>
      </c>
      <c r="D121" s="2" t="s">
        <v>89</v>
      </c>
      <c r="E121" s="2" t="s">
        <v>69</v>
      </c>
      <c r="F121" s="2"/>
      <c r="G121" s="2" t="s">
        <v>71</v>
      </c>
      <c r="H121" s="68"/>
      <c r="I121" s="58">
        <v>1.06E-3</v>
      </c>
      <c r="J121" s="63">
        <v>7.6247485000000026</v>
      </c>
      <c r="K121" s="25" t="s">
        <v>99</v>
      </c>
    </row>
    <row r="122" spans="2:11" x14ac:dyDescent="0.35">
      <c r="B122" s="97" t="s">
        <v>30</v>
      </c>
      <c r="C122" s="98" t="s">
        <v>63</v>
      </c>
      <c r="D122" s="98" t="s">
        <v>89</v>
      </c>
      <c r="E122" s="98" t="s">
        <v>65</v>
      </c>
      <c r="F122" s="98"/>
      <c r="G122" s="98" t="s">
        <v>74</v>
      </c>
      <c r="H122" s="99"/>
      <c r="I122" s="100">
        <v>2.3000000000000001E-4</v>
      </c>
      <c r="J122" s="102">
        <v>7.6247485000000026</v>
      </c>
      <c r="K122" s="101" t="s">
        <v>98</v>
      </c>
    </row>
    <row r="123" spans="2:11" x14ac:dyDescent="0.35">
      <c r="B123" s="97" t="s">
        <v>30</v>
      </c>
      <c r="C123" s="98" t="s">
        <v>63</v>
      </c>
      <c r="D123" s="98" t="s">
        <v>89</v>
      </c>
      <c r="E123" s="98" t="s">
        <v>69</v>
      </c>
      <c r="F123" s="98"/>
      <c r="G123" s="98" t="s">
        <v>74</v>
      </c>
      <c r="H123" s="99"/>
      <c r="I123" s="100">
        <v>2.5000000000000001E-4</v>
      </c>
      <c r="J123" s="102">
        <v>7.6247485000000026</v>
      </c>
      <c r="K123" s="101" t="s">
        <v>99</v>
      </c>
    </row>
    <row r="124" spans="2:11" x14ac:dyDescent="0.35">
      <c r="B124" s="27" t="s">
        <v>30</v>
      </c>
      <c r="C124" s="2" t="s">
        <v>63</v>
      </c>
      <c r="D124" s="2" t="s">
        <v>90</v>
      </c>
      <c r="E124" s="2" t="s">
        <v>65</v>
      </c>
      <c r="F124" s="2"/>
      <c r="G124" s="2" t="s">
        <v>66</v>
      </c>
      <c r="H124" s="68"/>
      <c r="I124" s="58">
        <v>1.7100000000000001E-3</v>
      </c>
      <c r="J124" s="63">
        <v>11.224748500000004</v>
      </c>
      <c r="K124" s="25" t="s">
        <v>100</v>
      </c>
    </row>
    <row r="125" spans="2:11" x14ac:dyDescent="0.35">
      <c r="B125" s="27" t="s">
        <v>30</v>
      </c>
      <c r="C125" s="2" t="s">
        <v>63</v>
      </c>
      <c r="D125" s="2" t="s">
        <v>90</v>
      </c>
      <c r="E125" s="2" t="s">
        <v>69</v>
      </c>
      <c r="F125" s="2"/>
      <c r="G125" s="2" t="s">
        <v>66</v>
      </c>
      <c r="H125" s="68"/>
      <c r="I125" s="58">
        <v>1.9499999999999902E-3</v>
      </c>
      <c r="J125" s="63">
        <v>11.224748500000004</v>
      </c>
      <c r="K125" s="25" t="s">
        <v>101</v>
      </c>
    </row>
    <row r="126" spans="2:11" x14ac:dyDescent="0.35">
      <c r="B126" s="27" t="s">
        <v>30</v>
      </c>
      <c r="C126" s="2" t="s">
        <v>63</v>
      </c>
      <c r="D126" s="2" t="s">
        <v>90</v>
      </c>
      <c r="E126" s="2" t="s">
        <v>65</v>
      </c>
      <c r="F126" s="2"/>
      <c r="G126" s="2" t="s">
        <v>71</v>
      </c>
      <c r="H126" s="68"/>
      <c r="I126" s="58">
        <v>9.5E-4</v>
      </c>
      <c r="J126" s="63">
        <v>11.224748500000004</v>
      </c>
      <c r="K126" s="25" t="s">
        <v>102</v>
      </c>
    </row>
    <row r="127" spans="2:11" x14ac:dyDescent="0.35">
      <c r="B127" s="27" t="s">
        <v>30</v>
      </c>
      <c r="C127" s="2" t="s">
        <v>63</v>
      </c>
      <c r="D127" s="2" t="s">
        <v>90</v>
      </c>
      <c r="E127" s="2" t="s">
        <v>69</v>
      </c>
      <c r="F127" s="2"/>
      <c r="G127" s="2" t="s">
        <v>71</v>
      </c>
      <c r="H127" s="68"/>
      <c r="I127" s="58">
        <v>1.06E-3</v>
      </c>
      <c r="J127" s="63">
        <v>11.224748500000004</v>
      </c>
      <c r="K127" s="25" t="s">
        <v>103</v>
      </c>
    </row>
    <row r="128" spans="2:11" x14ac:dyDescent="0.35">
      <c r="B128" s="97" t="s">
        <v>30</v>
      </c>
      <c r="C128" s="98" t="s">
        <v>63</v>
      </c>
      <c r="D128" s="98" t="s">
        <v>90</v>
      </c>
      <c r="E128" s="98" t="s">
        <v>65</v>
      </c>
      <c r="F128" s="98"/>
      <c r="G128" s="98" t="s">
        <v>74</v>
      </c>
      <c r="H128" s="99"/>
      <c r="I128" s="100">
        <v>2.3000000000000001E-4</v>
      </c>
      <c r="J128" s="102">
        <v>11.224748500000004</v>
      </c>
      <c r="K128" s="101" t="s">
        <v>102</v>
      </c>
    </row>
    <row r="129" spans="1:11" x14ac:dyDescent="0.35">
      <c r="B129" s="97" t="s">
        <v>30</v>
      </c>
      <c r="C129" s="98" t="s">
        <v>63</v>
      </c>
      <c r="D129" s="98" t="s">
        <v>90</v>
      </c>
      <c r="E129" s="98" t="s">
        <v>69</v>
      </c>
      <c r="F129" s="98"/>
      <c r="G129" s="98" t="s">
        <v>74</v>
      </c>
      <c r="H129" s="99"/>
      <c r="I129" s="100">
        <v>2.5000000000000001E-4</v>
      </c>
      <c r="J129" s="102">
        <v>11.224748500000004</v>
      </c>
      <c r="K129" s="101" t="s">
        <v>103</v>
      </c>
    </row>
    <row r="130" spans="1:11" x14ac:dyDescent="0.35">
      <c r="B130" s="27" t="s">
        <v>30</v>
      </c>
      <c r="C130" s="2" t="s">
        <v>63</v>
      </c>
      <c r="D130" s="2" t="s">
        <v>91</v>
      </c>
      <c r="E130" s="2" t="s">
        <v>65</v>
      </c>
      <c r="F130" s="2"/>
      <c r="G130" s="2" t="s">
        <v>66</v>
      </c>
      <c r="H130" s="68"/>
      <c r="I130" s="58">
        <v>1.7100000000000001E-3</v>
      </c>
      <c r="J130" s="63">
        <v>2.9247484999999998</v>
      </c>
      <c r="K130" s="25" t="s">
        <v>96</v>
      </c>
    </row>
    <row r="131" spans="1:11" x14ac:dyDescent="0.35">
      <c r="B131" s="27" t="s">
        <v>30</v>
      </c>
      <c r="C131" s="2" t="s">
        <v>63</v>
      </c>
      <c r="D131" s="2" t="s">
        <v>91</v>
      </c>
      <c r="E131" s="2" t="s">
        <v>69</v>
      </c>
      <c r="F131" s="2"/>
      <c r="G131" s="2" t="s">
        <v>66</v>
      </c>
      <c r="H131" s="68"/>
      <c r="I131" s="58">
        <v>1.9499999999999902E-3</v>
      </c>
      <c r="J131" s="63">
        <v>2.9247484999999998</v>
      </c>
      <c r="K131" s="25" t="s">
        <v>97</v>
      </c>
    </row>
    <row r="132" spans="1:11" x14ac:dyDescent="0.35">
      <c r="B132" s="27" t="s">
        <v>30</v>
      </c>
      <c r="C132" s="2" t="s">
        <v>63</v>
      </c>
      <c r="D132" s="2" t="s">
        <v>91</v>
      </c>
      <c r="E132" s="2" t="s">
        <v>65</v>
      </c>
      <c r="F132" s="2"/>
      <c r="G132" s="2" t="s">
        <v>71</v>
      </c>
      <c r="H132" s="68"/>
      <c r="I132" s="58">
        <v>9.5E-4</v>
      </c>
      <c r="J132" s="63">
        <v>2.9247484999999998</v>
      </c>
      <c r="K132" s="25" t="s">
        <v>96</v>
      </c>
    </row>
    <row r="133" spans="1:11" x14ac:dyDescent="0.35">
      <c r="B133" s="27" t="s">
        <v>30</v>
      </c>
      <c r="C133" s="2" t="s">
        <v>63</v>
      </c>
      <c r="D133" s="2" t="s">
        <v>91</v>
      </c>
      <c r="E133" s="2" t="s">
        <v>69</v>
      </c>
      <c r="F133" s="2"/>
      <c r="G133" s="2" t="s">
        <v>71</v>
      </c>
      <c r="H133" s="68"/>
      <c r="I133" s="58">
        <v>1.06E-3</v>
      </c>
      <c r="J133" s="63">
        <v>2.9247484999999998</v>
      </c>
      <c r="K133" s="25" t="s">
        <v>97</v>
      </c>
    </row>
    <row r="134" spans="1:11" x14ac:dyDescent="0.35">
      <c r="B134" s="97" t="s">
        <v>30</v>
      </c>
      <c r="C134" s="98" t="s">
        <v>63</v>
      </c>
      <c r="D134" s="98" t="s">
        <v>91</v>
      </c>
      <c r="E134" s="98" t="s">
        <v>65</v>
      </c>
      <c r="F134" s="98"/>
      <c r="G134" s="98" t="s">
        <v>74</v>
      </c>
      <c r="H134" s="99"/>
      <c r="I134" s="100">
        <v>2.3000000000000001E-4</v>
      </c>
      <c r="J134" s="102">
        <v>2.9247484999999998</v>
      </c>
      <c r="K134" s="101" t="s">
        <v>98</v>
      </c>
    </row>
    <row r="135" spans="1:11" x14ac:dyDescent="0.35">
      <c r="B135" s="97" t="s">
        <v>30</v>
      </c>
      <c r="C135" s="98" t="s">
        <v>63</v>
      </c>
      <c r="D135" s="98" t="s">
        <v>91</v>
      </c>
      <c r="E135" s="98" t="s">
        <v>69</v>
      </c>
      <c r="F135" s="98"/>
      <c r="G135" s="98" t="s">
        <v>74</v>
      </c>
      <c r="H135" s="99"/>
      <c r="I135" s="100">
        <v>2.5000000000000001E-4</v>
      </c>
      <c r="J135" s="102">
        <v>2.9247484999999998</v>
      </c>
      <c r="K135" s="101" t="s">
        <v>99</v>
      </c>
    </row>
    <row r="136" spans="1:11" ht="15.5" x14ac:dyDescent="0.35">
      <c r="A136" s="38" t="s">
        <v>34</v>
      </c>
      <c r="B136" s="30"/>
      <c r="C136" s="14"/>
      <c r="D136" s="14"/>
      <c r="E136" s="26"/>
      <c r="F136" s="15"/>
      <c r="G136" s="15"/>
      <c r="H136" s="15"/>
      <c r="I136" s="73"/>
      <c r="J136" s="41"/>
      <c r="K136" s="18"/>
    </row>
    <row r="137" spans="1:11" x14ac:dyDescent="0.35">
      <c r="A137" s="71"/>
      <c r="B137" s="27" t="s">
        <v>34</v>
      </c>
      <c r="C137" s="2" t="s">
        <v>63</v>
      </c>
      <c r="D137" s="2" t="s">
        <v>64</v>
      </c>
      <c r="E137" s="2" t="s">
        <v>65</v>
      </c>
      <c r="F137" s="2"/>
      <c r="G137" s="2" t="s">
        <v>66</v>
      </c>
      <c r="H137" s="68"/>
      <c r="I137" s="111">
        <v>1.6800000000000001E-3</v>
      </c>
      <c r="J137" s="63">
        <v>76.524527500000005</v>
      </c>
      <c r="K137" s="25" t="s">
        <v>191</v>
      </c>
    </row>
    <row r="138" spans="1:11" x14ac:dyDescent="0.35">
      <c r="A138" s="71"/>
      <c r="B138" s="27" t="s">
        <v>34</v>
      </c>
      <c r="C138" s="2" t="s">
        <v>63</v>
      </c>
      <c r="D138" s="2" t="s">
        <v>64</v>
      </c>
      <c r="E138" s="2" t="s">
        <v>69</v>
      </c>
      <c r="F138" s="2"/>
      <c r="G138" s="2" t="s">
        <v>66</v>
      </c>
      <c r="H138" s="68"/>
      <c r="I138" s="111">
        <v>1.8699999999999999E-3</v>
      </c>
      <c r="J138" s="63">
        <v>76.524527500000005</v>
      </c>
      <c r="K138" s="25" t="s">
        <v>192</v>
      </c>
    </row>
    <row r="139" spans="1:11" x14ac:dyDescent="0.35">
      <c r="A139" s="71"/>
      <c r="B139" s="27" t="s">
        <v>34</v>
      </c>
      <c r="C139" s="2" t="s">
        <v>63</v>
      </c>
      <c r="D139" s="2" t="s">
        <v>64</v>
      </c>
      <c r="E139" s="2" t="s">
        <v>65</v>
      </c>
      <c r="F139" s="2"/>
      <c r="G139" s="2" t="s">
        <v>71</v>
      </c>
      <c r="H139" s="68"/>
      <c r="I139" s="111">
        <v>1.17E-3</v>
      </c>
      <c r="J139" s="63">
        <v>76.524527500000005</v>
      </c>
      <c r="K139" s="25" t="s">
        <v>72</v>
      </c>
    </row>
    <row r="140" spans="1:11" x14ac:dyDescent="0.35">
      <c r="A140" s="71"/>
      <c r="B140" s="27" t="s">
        <v>34</v>
      </c>
      <c r="C140" s="2" t="s">
        <v>63</v>
      </c>
      <c r="D140" s="2" t="s">
        <v>64</v>
      </c>
      <c r="E140" s="2" t="s">
        <v>69</v>
      </c>
      <c r="F140" s="2"/>
      <c r="G140" s="2" t="s">
        <v>71</v>
      </c>
      <c r="H140" s="68"/>
      <c r="I140" s="111">
        <v>1.2999999999999999E-3</v>
      </c>
      <c r="J140" s="63">
        <v>76.524527500000005</v>
      </c>
      <c r="K140" s="25" t="s">
        <v>73</v>
      </c>
    </row>
    <row r="141" spans="1:11" s="107" customFormat="1" x14ac:dyDescent="0.35">
      <c r="A141" s="106"/>
      <c r="B141" s="97" t="s">
        <v>34</v>
      </c>
      <c r="C141" s="98" t="s">
        <v>63</v>
      </c>
      <c r="D141" s="98" t="s">
        <v>64</v>
      </c>
      <c r="E141" s="98" t="s">
        <v>65</v>
      </c>
      <c r="F141" s="98"/>
      <c r="G141" s="98" t="s">
        <v>74</v>
      </c>
      <c r="H141" s="99"/>
      <c r="I141" s="112">
        <v>1.17E-3</v>
      </c>
      <c r="J141" s="102">
        <v>76.524527500000005</v>
      </c>
      <c r="K141" s="101" t="s">
        <v>193</v>
      </c>
    </row>
    <row r="142" spans="1:11" s="107" customFormat="1" x14ac:dyDescent="0.35">
      <c r="A142" s="106"/>
      <c r="B142" s="97" t="s">
        <v>34</v>
      </c>
      <c r="C142" s="98" t="s">
        <v>63</v>
      </c>
      <c r="D142" s="98" t="s">
        <v>64</v>
      </c>
      <c r="E142" s="98" t="s">
        <v>69</v>
      </c>
      <c r="F142" s="98"/>
      <c r="G142" s="98" t="s">
        <v>74</v>
      </c>
      <c r="H142" s="99"/>
      <c r="I142" s="112">
        <v>1.2999999999999999E-3</v>
      </c>
      <c r="J142" s="102">
        <v>76.524527500000005</v>
      </c>
      <c r="K142" s="101" t="s">
        <v>194</v>
      </c>
    </row>
    <row r="143" spans="1:11" x14ac:dyDescent="0.35">
      <c r="A143" s="71"/>
      <c r="B143" s="27" t="s">
        <v>34</v>
      </c>
      <c r="C143" s="2" t="s">
        <v>63</v>
      </c>
      <c r="D143" s="2" t="s">
        <v>131</v>
      </c>
      <c r="E143" s="2" t="s">
        <v>65</v>
      </c>
      <c r="F143" s="2"/>
      <c r="G143" s="2" t="s">
        <v>66</v>
      </c>
      <c r="H143" s="68"/>
      <c r="I143" s="111">
        <v>2.5799999999999998E-3</v>
      </c>
      <c r="J143" s="63">
        <v>47.884527500000004</v>
      </c>
      <c r="K143" s="25" t="s">
        <v>216</v>
      </c>
    </row>
    <row r="144" spans="1:11" x14ac:dyDescent="0.35">
      <c r="A144" s="71"/>
      <c r="B144" s="27" t="s">
        <v>34</v>
      </c>
      <c r="C144" s="2" t="s">
        <v>63</v>
      </c>
      <c r="D144" s="2" t="s">
        <v>131</v>
      </c>
      <c r="E144" s="2" t="s">
        <v>69</v>
      </c>
      <c r="F144" s="2"/>
      <c r="G144" s="2" t="s">
        <v>66</v>
      </c>
      <c r="H144" s="68"/>
      <c r="I144" s="111">
        <v>2.8999999999999998E-3</v>
      </c>
      <c r="J144" s="63">
        <v>47.884527500000004</v>
      </c>
      <c r="K144" s="25" t="s">
        <v>217</v>
      </c>
    </row>
    <row r="145" spans="1:11" x14ac:dyDescent="0.35">
      <c r="A145" s="71"/>
      <c r="B145" s="27" t="s">
        <v>34</v>
      </c>
      <c r="C145" s="2" t="s">
        <v>63</v>
      </c>
      <c r="D145" s="2" t="s">
        <v>131</v>
      </c>
      <c r="E145" s="2" t="s">
        <v>65</v>
      </c>
      <c r="F145" s="2"/>
      <c r="G145" s="2" t="s">
        <v>71</v>
      </c>
      <c r="H145" s="68"/>
      <c r="I145" s="111">
        <v>1.16E-3</v>
      </c>
      <c r="J145" s="63">
        <v>47.884527500000004</v>
      </c>
      <c r="K145" s="25" t="s">
        <v>134</v>
      </c>
    </row>
    <row r="146" spans="1:11" x14ac:dyDescent="0.35">
      <c r="A146" s="71"/>
      <c r="B146" s="27" t="s">
        <v>34</v>
      </c>
      <c r="C146" s="2" t="s">
        <v>63</v>
      </c>
      <c r="D146" s="2" t="s">
        <v>131</v>
      </c>
      <c r="E146" s="2" t="s">
        <v>69</v>
      </c>
      <c r="F146" s="2"/>
      <c r="G146" s="2" t="s">
        <v>71</v>
      </c>
      <c r="H146" s="68"/>
      <c r="I146" s="111">
        <v>1.2999999999999999E-3</v>
      </c>
      <c r="J146" s="63">
        <v>47.884527500000004</v>
      </c>
      <c r="K146" s="25" t="s">
        <v>135</v>
      </c>
    </row>
    <row r="147" spans="1:11" s="107" customFormat="1" x14ac:dyDescent="0.35">
      <c r="A147" s="106"/>
      <c r="B147" s="97" t="s">
        <v>34</v>
      </c>
      <c r="C147" s="98" t="s">
        <v>63</v>
      </c>
      <c r="D147" s="98" t="s">
        <v>131</v>
      </c>
      <c r="E147" s="98" t="s">
        <v>65</v>
      </c>
      <c r="F147" s="98"/>
      <c r="G147" s="98" t="s">
        <v>74</v>
      </c>
      <c r="H147" s="99"/>
      <c r="I147" s="112">
        <v>1.16E-3</v>
      </c>
      <c r="J147" s="102">
        <v>47.884527500000004</v>
      </c>
      <c r="K147" s="101" t="s">
        <v>218</v>
      </c>
    </row>
    <row r="148" spans="1:11" s="107" customFormat="1" x14ac:dyDescent="0.35">
      <c r="A148" s="106"/>
      <c r="B148" s="97" t="s">
        <v>34</v>
      </c>
      <c r="C148" s="98" t="s">
        <v>63</v>
      </c>
      <c r="D148" s="98" t="s">
        <v>131</v>
      </c>
      <c r="E148" s="98" t="s">
        <v>69</v>
      </c>
      <c r="F148" s="98"/>
      <c r="G148" s="98" t="s">
        <v>74</v>
      </c>
      <c r="H148" s="99"/>
      <c r="I148" s="112">
        <v>1.2999999999999999E-3</v>
      </c>
      <c r="J148" s="102">
        <v>47.884527500000004</v>
      </c>
      <c r="K148" s="101" t="s">
        <v>219</v>
      </c>
    </row>
    <row r="149" spans="1:11" x14ac:dyDescent="0.35">
      <c r="A149" s="71"/>
      <c r="B149" s="27" t="s">
        <v>34</v>
      </c>
      <c r="C149" s="2" t="s">
        <v>63</v>
      </c>
      <c r="D149" s="2" t="s">
        <v>75</v>
      </c>
      <c r="E149" s="2" t="s">
        <v>65</v>
      </c>
      <c r="F149" s="2"/>
      <c r="G149" s="2" t="s">
        <v>66</v>
      </c>
      <c r="H149" s="68"/>
      <c r="I149" s="58">
        <v>2E-3</v>
      </c>
      <c r="J149" s="63">
        <v>8.0845275000000001</v>
      </c>
      <c r="K149" s="25" t="s">
        <v>196</v>
      </c>
    </row>
    <row r="150" spans="1:11" x14ac:dyDescent="0.35">
      <c r="A150" s="71"/>
      <c r="B150" s="27" t="s">
        <v>34</v>
      </c>
      <c r="C150" s="2" t="s">
        <v>63</v>
      </c>
      <c r="D150" s="2" t="s">
        <v>75</v>
      </c>
      <c r="E150" s="2" t="s">
        <v>69</v>
      </c>
      <c r="F150" s="2"/>
      <c r="G150" s="2" t="s">
        <v>66</v>
      </c>
      <c r="H150" s="68"/>
      <c r="I150" s="58">
        <v>2.3E-3</v>
      </c>
      <c r="J150" s="63">
        <v>8.0845275000000001</v>
      </c>
      <c r="K150" s="25" t="s">
        <v>195</v>
      </c>
    </row>
    <row r="151" spans="1:11" x14ac:dyDescent="0.35">
      <c r="A151" s="71"/>
      <c r="B151" s="27" t="s">
        <v>34</v>
      </c>
      <c r="C151" s="2" t="s">
        <v>63</v>
      </c>
      <c r="D151" s="2" t="s">
        <v>75</v>
      </c>
      <c r="E151" s="2" t="s">
        <v>65</v>
      </c>
      <c r="F151" s="2"/>
      <c r="G151" s="2" t="s">
        <v>71</v>
      </c>
      <c r="H151" s="68"/>
      <c r="I151" s="58">
        <v>6.9999999999999999E-4</v>
      </c>
      <c r="J151" s="63">
        <v>8.0845275000000001</v>
      </c>
      <c r="K151" s="25" t="s">
        <v>78</v>
      </c>
    </row>
    <row r="152" spans="1:11" ht="14" customHeight="1" x14ac:dyDescent="0.35">
      <c r="A152" s="71"/>
      <c r="B152" s="27" t="s">
        <v>34</v>
      </c>
      <c r="C152" s="2" t="s">
        <v>63</v>
      </c>
      <c r="D152" s="2" t="s">
        <v>75</v>
      </c>
      <c r="E152" s="2" t="s">
        <v>69</v>
      </c>
      <c r="F152" s="2"/>
      <c r="G152" s="2" t="s">
        <v>71</v>
      </c>
      <c r="H152" s="68"/>
      <c r="I152" s="58">
        <v>8.0000000000000004E-4</v>
      </c>
      <c r="J152" s="63">
        <v>8.0845275000000001</v>
      </c>
      <c r="K152" s="25" t="s">
        <v>79</v>
      </c>
    </row>
    <row r="153" spans="1:11" s="107" customFormat="1" x14ac:dyDescent="0.35">
      <c r="A153" s="106"/>
      <c r="B153" s="97" t="s">
        <v>34</v>
      </c>
      <c r="C153" s="98" t="s">
        <v>63</v>
      </c>
      <c r="D153" s="98" t="s">
        <v>75</v>
      </c>
      <c r="E153" s="98" t="s">
        <v>65</v>
      </c>
      <c r="F153" s="98"/>
      <c r="G153" s="98" t="s">
        <v>74</v>
      </c>
      <c r="H153" s="99"/>
      <c r="I153" s="100">
        <v>2.9999999999999997E-4</v>
      </c>
      <c r="J153" s="102">
        <v>8.0845275000000001</v>
      </c>
      <c r="K153" s="101" t="s">
        <v>197</v>
      </c>
    </row>
    <row r="154" spans="1:11" s="107" customFormat="1" x14ac:dyDescent="0.35">
      <c r="A154" s="106"/>
      <c r="B154" s="97" t="s">
        <v>34</v>
      </c>
      <c r="C154" s="98" t="s">
        <v>63</v>
      </c>
      <c r="D154" s="98" t="s">
        <v>75</v>
      </c>
      <c r="E154" s="98" t="s">
        <v>69</v>
      </c>
      <c r="F154" s="98"/>
      <c r="G154" s="98" t="s">
        <v>74</v>
      </c>
      <c r="H154" s="99"/>
      <c r="I154" s="100">
        <v>2.9999999999999997E-4</v>
      </c>
      <c r="J154" s="102">
        <v>8.0845275000000001</v>
      </c>
      <c r="K154" s="101" t="s">
        <v>198</v>
      </c>
    </row>
    <row r="155" spans="1:11" x14ac:dyDescent="0.35">
      <c r="A155" s="71"/>
      <c r="B155" s="27" t="s">
        <v>34</v>
      </c>
      <c r="C155" s="2" t="s">
        <v>63</v>
      </c>
      <c r="D155" s="2" t="s">
        <v>80</v>
      </c>
      <c r="E155" s="2" t="s">
        <v>65</v>
      </c>
      <c r="F155" s="2"/>
      <c r="G155" s="2" t="s">
        <v>66</v>
      </c>
      <c r="H155" s="68"/>
      <c r="I155" s="58">
        <v>2E-3</v>
      </c>
      <c r="J155" s="63">
        <v>11.0845275</v>
      </c>
      <c r="K155" s="25" t="s">
        <v>200</v>
      </c>
    </row>
    <row r="156" spans="1:11" x14ac:dyDescent="0.35">
      <c r="A156" s="71"/>
      <c r="B156" s="27" t="s">
        <v>34</v>
      </c>
      <c r="C156" s="2" t="s">
        <v>63</v>
      </c>
      <c r="D156" s="2" t="s">
        <v>80</v>
      </c>
      <c r="E156" s="2" t="s">
        <v>69</v>
      </c>
      <c r="F156" s="2"/>
      <c r="G156" s="2" t="s">
        <v>66</v>
      </c>
      <c r="H156" s="68"/>
      <c r="I156" s="58">
        <v>2.3E-3</v>
      </c>
      <c r="J156" s="63">
        <v>11.0845275</v>
      </c>
      <c r="K156" s="25" t="s">
        <v>201</v>
      </c>
    </row>
    <row r="157" spans="1:11" x14ac:dyDescent="0.35">
      <c r="B157" s="27" t="s">
        <v>34</v>
      </c>
      <c r="C157" s="2" t="s">
        <v>63</v>
      </c>
      <c r="D157" s="2" t="s">
        <v>80</v>
      </c>
      <c r="E157" s="2" t="s">
        <v>65</v>
      </c>
      <c r="F157" s="2"/>
      <c r="G157" s="2" t="s">
        <v>71</v>
      </c>
      <c r="H157" s="68"/>
      <c r="I157" s="58">
        <v>6.9999999999999999E-4</v>
      </c>
      <c r="J157" s="63">
        <v>11.0845275</v>
      </c>
      <c r="K157" s="25" t="s">
        <v>83</v>
      </c>
    </row>
    <row r="158" spans="1:11" x14ac:dyDescent="0.35">
      <c r="B158" s="27" t="s">
        <v>34</v>
      </c>
      <c r="C158" s="2" t="s">
        <v>63</v>
      </c>
      <c r="D158" s="2" t="s">
        <v>80</v>
      </c>
      <c r="E158" s="2" t="s">
        <v>69</v>
      </c>
      <c r="F158" s="2"/>
      <c r="G158" s="2" t="s">
        <v>71</v>
      </c>
      <c r="H158" s="68"/>
      <c r="I158" s="58">
        <v>8.0000000000000004E-4</v>
      </c>
      <c r="J158" s="63">
        <v>11.0845275</v>
      </c>
      <c r="K158" s="25" t="s">
        <v>84</v>
      </c>
    </row>
    <row r="159" spans="1:11" s="107" customFormat="1" x14ac:dyDescent="0.35">
      <c r="A159" s="108"/>
      <c r="B159" s="97" t="s">
        <v>34</v>
      </c>
      <c r="C159" s="98" t="s">
        <v>63</v>
      </c>
      <c r="D159" s="98" t="s">
        <v>80</v>
      </c>
      <c r="E159" s="98" t="s">
        <v>65</v>
      </c>
      <c r="F159" s="98"/>
      <c r="G159" s="98" t="s">
        <v>74</v>
      </c>
      <c r="H159" s="99"/>
      <c r="I159" s="100">
        <v>2.9999999999999997E-4</v>
      </c>
      <c r="J159" s="102">
        <v>11.0845275</v>
      </c>
      <c r="K159" s="101" t="s">
        <v>202</v>
      </c>
    </row>
    <row r="160" spans="1:11" s="107" customFormat="1" x14ac:dyDescent="0.35">
      <c r="A160" s="108"/>
      <c r="B160" s="97" t="s">
        <v>34</v>
      </c>
      <c r="C160" s="98" t="s">
        <v>63</v>
      </c>
      <c r="D160" s="98" t="s">
        <v>80</v>
      </c>
      <c r="E160" s="98" t="s">
        <v>69</v>
      </c>
      <c r="F160" s="98"/>
      <c r="G160" s="98" t="s">
        <v>74</v>
      </c>
      <c r="H160" s="99"/>
      <c r="I160" s="100">
        <v>2.9999999999999997E-4</v>
      </c>
      <c r="J160" s="102">
        <v>11.0845275</v>
      </c>
      <c r="K160" s="101" t="s">
        <v>203</v>
      </c>
    </row>
    <row r="161" spans="1:11" x14ac:dyDescent="0.35">
      <c r="B161" s="27" t="s">
        <v>34</v>
      </c>
      <c r="C161" s="2" t="s">
        <v>63</v>
      </c>
      <c r="D161" s="2" t="s">
        <v>85</v>
      </c>
      <c r="E161" s="2" t="s">
        <v>65</v>
      </c>
      <c r="F161" s="2"/>
      <c r="G161" s="2" t="s">
        <v>66</v>
      </c>
      <c r="H161" s="68"/>
      <c r="I161" s="58">
        <v>2E-3</v>
      </c>
      <c r="J161" s="63">
        <v>8.0845275000000001</v>
      </c>
      <c r="K161" s="25" t="s">
        <v>196</v>
      </c>
    </row>
    <row r="162" spans="1:11" x14ac:dyDescent="0.35">
      <c r="B162" s="27" t="s">
        <v>34</v>
      </c>
      <c r="C162" s="2" t="s">
        <v>63</v>
      </c>
      <c r="D162" s="2" t="s">
        <v>85</v>
      </c>
      <c r="E162" s="2" t="s">
        <v>69</v>
      </c>
      <c r="F162" s="2"/>
      <c r="G162" s="2" t="s">
        <v>66</v>
      </c>
      <c r="H162" s="68"/>
      <c r="I162" s="58">
        <v>2.3E-3</v>
      </c>
      <c r="J162" s="63">
        <v>8.0845275000000001</v>
      </c>
      <c r="K162" s="25" t="s">
        <v>195</v>
      </c>
    </row>
    <row r="163" spans="1:11" x14ac:dyDescent="0.35">
      <c r="B163" s="27" t="s">
        <v>34</v>
      </c>
      <c r="C163" s="2" t="s">
        <v>63</v>
      </c>
      <c r="D163" s="2" t="s">
        <v>85</v>
      </c>
      <c r="E163" s="2" t="s">
        <v>65</v>
      </c>
      <c r="F163" s="2"/>
      <c r="G163" s="2" t="s">
        <v>71</v>
      </c>
      <c r="H163" s="68"/>
      <c r="I163" s="58">
        <v>6.9999999999999999E-4</v>
      </c>
      <c r="J163" s="63">
        <v>8.0845275000000001</v>
      </c>
      <c r="K163" s="25" t="s">
        <v>78</v>
      </c>
    </row>
    <row r="164" spans="1:11" x14ac:dyDescent="0.35">
      <c r="B164" s="27" t="s">
        <v>34</v>
      </c>
      <c r="C164" s="2" t="s">
        <v>63</v>
      </c>
      <c r="D164" s="2" t="s">
        <v>85</v>
      </c>
      <c r="E164" s="2" t="s">
        <v>69</v>
      </c>
      <c r="F164" s="2"/>
      <c r="G164" s="2" t="s">
        <v>71</v>
      </c>
      <c r="H164" s="68"/>
      <c r="I164" s="58">
        <v>8.0000000000000004E-4</v>
      </c>
      <c r="J164" s="63">
        <v>8.0845275000000001</v>
      </c>
      <c r="K164" s="25" t="s">
        <v>79</v>
      </c>
    </row>
    <row r="165" spans="1:11" s="107" customFormat="1" x14ac:dyDescent="0.35">
      <c r="A165" s="108"/>
      <c r="B165" s="97" t="s">
        <v>34</v>
      </c>
      <c r="C165" s="98" t="s">
        <v>63</v>
      </c>
      <c r="D165" s="98" t="s">
        <v>85</v>
      </c>
      <c r="E165" s="98" t="s">
        <v>65</v>
      </c>
      <c r="F165" s="98"/>
      <c r="G165" s="98" t="s">
        <v>74</v>
      </c>
      <c r="H165" s="99"/>
      <c r="I165" s="100">
        <v>2.9999999999999997E-4</v>
      </c>
      <c r="J165" s="102">
        <v>8.0845275000000001</v>
      </c>
      <c r="K165" s="101" t="s">
        <v>197</v>
      </c>
    </row>
    <row r="166" spans="1:11" s="107" customFormat="1" x14ac:dyDescent="0.35">
      <c r="A166" s="108"/>
      <c r="B166" s="97" t="s">
        <v>34</v>
      </c>
      <c r="C166" s="98" t="s">
        <v>63</v>
      </c>
      <c r="D166" s="98" t="s">
        <v>85</v>
      </c>
      <c r="E166" s="98" t="s">
        <v>69</v>
      </c>
      <c r="F166" s="98"/>
      <c r="G166" s="98" t="s">
        <v>74</v>
      </c>
      <c r="H166" s="99"/>
      <c r="I166" s="100">
        <v>2.9999999999999997E-4</v>
      </c>
      <c r="J166" s="102">
        <v>8.0845275000000001</v>
      </c>
      <c r="K166" s="101" t="s">
        <v>198</v>
      </c>
    </row>
    <row r="167" spans="1:11" x14ac:dyDescent="0.35">
      <c r="B167" s="27" t="s">
        <v>34</v>
      </c>
      <c r="C167" s="2" t="s">
        <v>63</v>
      </c>
      <c r="D167" s="2" t="s">
        <v>86</v>
      </c>
      <c r="E167" s="2" t="s">
        <v>65</v>
      </c>
      <c r="F167" s="2"/>
      <c r="G167" s="2" t="s">
        <v>66</v>
      </c>
      <c r="H167" s="68"/>
      <c r="I167" s="58">
        <v>1.8E-3</v>
      </c>
      <c r="J167" s="63">
        <v>7.5845275000000001</v>
      </c>
      <c r="K167" s="25" t="s">
        <v>196</v>
      </c>
    </row>
    <row r="168" spans="1:11" x14ac:dyDescent="0.35">
      <c r="B168" s="27" t="s">
        <v>34</v>
      </c>
      <c r="C168" s="2" t="s">
        <v>63</v>
      </c>
      <c r="D168" s="2" t="s">
        <v>86</v>
      </c>
      <c r="E168" s="2" t="s">
        <v>69</v>
      </c>
      <c r="F168" s="2"/>
      <c r="G168" s="2" t="s">
        <v>66</v>
      </c>
      <c r="H168" s="68"/>
      <c r="I168" s="58">
        <v>2E-3</v>
      </c>
      <c r="J168" s="63">
        <v>7.5845275000000001</v>
      </c>
      <c r="K168" s="25" t="s">
        <v>195</v>
      </c>
    </row>
    <row r="169" spans="1:11" x14ac:dyDescent="0.35">
      <c r="B169" s="27" t="s">
        <v>34</v>
      </c>
      <c r="C169" s="2" t="s">
        <v>63</v>
      </c>
      <c r="D169" s="2" t="s">
        <v>86</v>
      </c>
      <c r="E169" s="2" t="s">
        <v>65</v>
      </c>
      <c r="F169" s="2"/>
      <c r="G169" s="2" t="s">
        <v>71</v>
      </c>
      <c r="H169" s="68"/>
      <c r="I169" s="58">
        <v>6.9999999999999999E-4</v>
      </c>
      <c r="J169" s="63">
        <v>7.5845275000000001</v>
      </c>
      <c r="K169" s="25" t="s">
        <v>78</v>
      </c>
    </row>
    <row r="170" spans="1:11" x14ac:dyDescent="0.35">
      <c r="B170" s="27" t="s">
        <v>34</v>
      </c>
      <c r="C170" s="2" t="s">
        <v>63</v>
      </c>
      <c r="D170" s="2" t="s">
        <v>86</v>
      </c>
      <c r="E170" s="2" t="s">
        <v>69</v>
      </c>
      <c r="F170" s="2"/>
      <c r="G170" s="2" t="s">
        <v>71</v>
      </c>
      <c r="H170" s="68"/>
      <c r="I170" s="58">
        <v>8.0000000000000004E-4</v>
      </c>
      <c r="J170" s="63">
        <v>7.5845275000000001</v>
      </c>
      <c r="K170" s="25" t="s">
        <v>79</v>
      </c>
    </row>
    <row r="171" spans="1:11" s="107" customFormat="1" x14ac:dyDescent="0.35">
      <c r="A171" s="108"/>
      <c r="B171" s="97" t="s">
        <v>34</v>
      </c>
      <c r="C171" s="98" t="s">
        <v>63</v>
      </c>
      <c r="D171" s="98" t="s">
        <v>86</v>
      </c>
      <c r="E171" s="98" t="s">
        <v>65</v>
      </c>
      <c r="F171" s="98"/>
      <c r="G171" s="98" t="s">
        <v>74</v>
      </c>
      <c r="H171" s="99"/>
      <c r="I171" s="100">
        <v>2.9999999999999997E-4</v>
      </c>
      <c r="J171" s="102">
        <v>7.5845275000000001</v>
      </c>
      <c r="K171" s="101" t="s">
        <v>197</v>
      </c>
    </row>
    <row r="172" spans="1:11" s="107" customFormat="1" x14ac:dyDescent="0.35">
      <c r="A172" s="108"/>
      <c r="B172" s="97" t="s">
        <v>34</v>
      </c>
      <c r="C172" s="98" t="s">
        <v>63</v>
      </c>
      <c r="D172" s="98" t="s">
        <v>86</v>
      </c>
      <c r="E172" s="98" t="s">
        <v>69</v>
      </c>
      <c r="F172" s="98"/>
      <c r="G172" s="98" t="s">
        <v>74</v>
      </c>
      <c r="H172" s="99"/>
      <c r="I172" s="100">
        <v>2.9999999999999997E-4</v>
      </c>
      <c r="J172" s="102">
        <v>7.5845275000000001</v>
      </c>
      <c r="K172" s="101" t="s">
        <v>198</v>
      </c>
    </row>
    <row r="173" spans="1:11" x14ac:dyDescent="0.35">
      <c r="B173" s="27" t="s">
        <v>34</v>
      </c>
      <c r="C173" s="2" t="s">
        <v>63</v>
      </c>
      <c r="D173" s="2" t="s">
        <v>87</v>
      </c>
      <c r="E173" s="2" t="s">
        <v>65</v>
      </c>
      <c r="F173" s="2"/>
      <c r="G173" s="2" t="s">
        <v>66</v>
      </c>
      <c r="H173" s="68"/>
      <c r="I173" s="58">
        <v>1.8E-3</v>
      </c>
      <c r="J173" s="63">
        <v>11.0845275</v>
      </c>
      <c r="K173" s="25" t="s">
        <v>200</v>
      </c>
    </row>
    <row r="174" spans="1:11" x14ac:dyDescent="0.35">
      <c r="B174" s="27" t="s">
        <v>34</v>
      </c>
      <c r="C174" s="2" t="s">
        <v>63</v>
      </c>
      <c r="D174" s="2" t="s">
        <v>87</v>
      </c>
      <c r="E174" s="2" t="s">
        <v>69</v>
      </c>
      <c r="F174" s="2"/>
      <c r="G174" s="2" t="s">
        <v>66</v>
      </c>
      <c r="H174" s="68"/>
      <c r="I174" s="58">
        <v>2E-3</v>
      </c>
      <c r="J174" s="63">
        <v>11.0845275</v>
      </c>
      <c r="K174" s="25" t="s">
        <v>201</v>
      </c>
    </row>
    <row r="175" spans="1:11" x14ac:dyDescent="0.35">
      <c r="B175" s="27" t="s">
        <v>34</v>
      </c>
      <c r="C175" s="2" t="s">
        <v>63</v>
      </c>
      <c r="D175" s="2" t="s">
        <v>87</v>
      </c>
      <c r="E175" s="2" t="s">
        <v>65</v>
      </c>
      <c r="F175" s="2"/>
      <c r="G175" s="2" t="s">
        <v>71</v>
      </c>
      <c r="H175" s="68"/>
      <c r="I175" s="58">
        <v>6.9999999999999999E-4</v>
      </c>
      <c r="J175" s="63">
        <v>11.0845275</v>
      </c>
      <c r="K175" s="25" t="s">
        <v>83</v>
      </c>
    </row>
    <row r="176" spans="1:11" x14ac:dyDescent="0.35">
      <c r="B176" s="27" t="s">
        <v>34</v>
      </c>
      <c r="C176" s="2" t="s">
        <v>63</v>
      </c>
      <c r="D176" s="2" t="s">
        <v>87</v>
      </c>
      <c r="E176" s="2" t="s">
        <v>69</v>
      </c>
      <c r="F176" s="2"/>
      <c r="G176" s="2" t="s">
        <v>71</v>
      </c>
      <c r="H176" s="68"/>
      <c r="I176" s="58">
        <v>8.0000000000000004E-4</v>
      </c>
      <c r="J176" s="63">
        <v>11.0845275</v>
      </c>
      <c r="K176" s="25" t="s">
        <v>84</v>
      </c>
    </row>
    <row r="177" spans="1:11" s="107" customFormat="1" x14ac:dyDescent="0.35">
      <c r="A177" s="108"/>
      <c r="B177" s="97" t="s">
        <v>34</v>
      </c>
      <c r="C177" s="98" t="s">
        <v>63</v>
      </c>
      <c r="D177" s="98" t="s">
        <v>87</v>
      </c>
      <c r="E177" s="98" t="s">
        <v>65</v>
      </c>
      <c r="F177" s="98"/>
      <c r="G177" s="98" t="s">
        <v>74</v>
      </c>
      <c r="H177" s="99"/>
      <c r="I177" s="100">
        <v>2.9999999999999997E-4</v>
      </c>
      <c r="J177" s="102">
        <v>11.0845275</v>
      </c>
      <c r="K177" s="101" t="s">
        <v>202</v>
      </c>
    </row>
    <row r="178" spans="1:11" s="107" customFormat="1" x14ac:dyDescent="0.35">
      <c r="A178" s="108"/>
      <c r="B178" s="97" t="s">
        <v>34</v>
      </c>
      <c r="C178" s="98" t="s">
        <v>63</v>
      </c>
      <c r="D178" s="98" t="s">
        <v>87</v>
      </c>
      <c r="E178" s="98" t="s">
        <v>69</v>
      </c>
      <c r="F178" s="98"/>
      <c r="G178" s="98" t="s">
        <v>74</v>
      </c>
      <c r="H178" s="99"/>
      <c r="I178" s="100">
        <v>2.9999999999999997E-4</v>
      </c>
      <c r="J178" s="102">
        <v>11.0845275</v>
      </c>
      <c r="K178" s="101" t="s">
        <v>203</v>
      </c>
    </row>
    <row r="179" spans="1:11" x14ac:dyDescent="0.35">
      <c r="B179" s="27" t="s">
        <v>34</v>
      </c>
      <c r="C179" s="2" t="s">
        <v>63</v>
      </c>
      <c r="D179" s="2" t="s">
        <v>88</v>
      </c>
      <c r="E179" s="2" t="s">
        <v>65</v>
      </c>
      <c r="F179" s="2"/>
      <c r="G179" s="2" t="s">
        <v>66</v>
      </c>
      <c r="H179" s="68"/>
      <c r="I179" s="58">
        <v>1.8E-3</v>
      </c>
      <c r="J179" s="63">
        <v>7.5845275000000001</v>
      </c>
      <c r="K179" s="25" t="s">
        <v>196</v>
      </c>
    </row>
    <row r="180" spans="1:11" x14ac:dyDescent="0.35">
      <c r="B180" s="27" t="s">
        <v>34</v>
      </c>
      <c r="C180" s="2" t="s">
        <v>63</v>
      </c>
      <c r="D180" s="2" t="s">
        <v>88</v>
      </c>
      <c r="E180" s="2" t="s">
        <v>69</v>
      </c>
      <c r="F180" s="2"/>
      <c r="G180" s="2" t="s">
        <v>66</v>
      </c>
      <c r="H180" s="68"/>
      <c r="I180" s="58">
        <v>2E-3</v>
      </c>
      <c r="J180" s="63">
        <v>7.5845275000000001</v>
      </c>
      <c r="K180" s="25" t="s">
        <v>220</v>
      </c>
    </row>
    <row r="181" spans="1:11" x14ac:dyDescent="0.35">
      <c r="B181" s="27" t="s">
        <v>34</v>
      </c>
      <c r="C181" s="2" t="s">
        <v>63</v>
      </c>
      <c r="D181" s="2" t="s">
        <v>88</v>
      </c>
      <c r="E181" s="2" t="s">
        <v>65</v>
      </c>
      <c r="F181" s="2"/>
      <c r="G181" s="2" t="s">
        <v>71</v>
      </c>
      <c r="H181" s="68"/>
      <c r="I181" s="58">
        <v>6.9999999999999999E-4</v>
      </c>
      <c r="J181" s="63">
        <v>7.5845275000000001</v>
      </c>
      <c r="K181" s="25" t="s">
        <v>78</v>
      </c>
    </row>
    <row r="182" spans="1:11" x14ac:dyDescent="0.35">
      <c r="B182" s="27" t="s">
        <v>34</v>
      </c>
      <c r="C182" s="2" t="s">
        <v>63</v>
      </c>
      <c r="D182" s="2" t="s">
        <v>88</v>
      </c>
      <c r="E182" s="2" t="s">
        <v>69</v>
      </c>
      <c r="F182" s="2"/>
      <c r="G182" s="2" t="s">
        <v>71</v>
      </c>
      <c r="H182" s="68"/>
      <c r="I182" s="58">
        <v>8.0000000000000004E-4</v>
      </c>
      <c r="J182" s="63">
        <v>7.5845275000000001</v>
      </c>
      <c r="K182" s="25" t="s">
        <v>79</v>
      </c>
    </row>
    <row r="183" spans="1:11" s="107" customFormat="1" x14ac:dyDescent="0.35">
      <c r="A183" s="108"/>
      <c r="B183" s="97" t="s">
        <v>34</v>
      </c>
      <c r="C183" s="98" t="s">
        <v>63</v>
      </c>
      <c r="D183" s="98" t="s">
        <v>88</v>
      </c>
      <c r="E183" s="98" t="s">
        <v>65</v>
      </c>
      <c r="F183" s="98"/>
      <c r="G183" s="98" t="s">
        <v>74</v>
      </c>
      <c r="H183" s="99"/>
      <c r="I183" s="100">
        <v>2.9999999999999997E-4</v>
      </c>
      <c r="J183" s="102">
        <v>7.5845275000000001</v>
      </c>
      <c r="K183" s="101" t="s">
        <v>197</v>
      </c>
    </row>
    <row r="184" spans="1:11" s="107" customFormat="1" x14ac:dyDescent="0.35">
      <c r="A184" s="108"/>
      <c r="B184" s="97" t="s">
        <v>34</v>
      </c>
      <c r="C184" s="98" t="s">
        <v>63</v>
      </c>
      <c r="D184" s="98" t="s">
        <v>88</v>
      </c>
      <c r="E184" s="98" t="s">
        <v>69</v>
      </c>
      <c r="F184" s="98"/>
      <c r="G184" s="98" t="s">
        <v>74</v>
      </c>
      <c r="H184" s="99"/>
      <c r="I184" s="100">
        <v>2.9999999999999997E-4</v>
      </c>
      <c r="J184" s="102">
        <v>7.5845275000000001</v>
      </c>
      <c r="K184" s="101" t="s">
        <v>198</v>
      </c>
    </row>
    <row r="185" spans="1:11" x14ac:dyDescent="0.35">
      <c r="B185" s="27" t="s">
        <v>34</v>
      </c>
      <c r="C185" s="2" t="s">
        <v>63</v>
      </c>
      <c r="D185" s="2" t="s">
        <v>89</v>
      </c>
      <c r="E185" s="2" t="s">
        <v>65</v>
      </c>
      <c r="F185" s="2"/>
      <c r="G185" s="2" t="s">
        <v>66</v>
      </c>
      <c r="H185" s="68"/>
      <c r="I185" s="58">
        <v>1.8E-3</v>
      </c>
      <c r="J185" s="63">
        <v>7.5845275000000001</v>
      </c>
      <c r="K185" s="25" t="s">
        <v>196</v>
      </c>
    </row>
    <row r="186" spans="1:11" x14ac:dyDescent="0.35">
      <c r="B186" s="27" t="s">
        <v>34</v>
      </c>
      <c r="C186" s="2" t="s">
        <v>63</v>
      </c>
      <c r="D186" s="2" t="s">
        <v>89</v>
      </c>
      <c r="E186" s="2" t="s">
        <v>69</v>
      </c>
      <c r="F186" s="2"/>
      <c r="G186" s="2" t="s">
        <v>66</v>
      </c>
      <c r="H186" s="68"/>
      <c r="I186" s="58">
        <v>2E-3</v>
      </c>
      <c r="J186" s="63">
        <v>7.5845275000000001</v>
      </c>
      <c r="K186" s="25" t="s">
        <v>195</v>
      </c>
    </row>
    <row r="187" spans="1:11" x14ac:dyDescent="0.35">
      <c r="B187" s="27" t="s">
        <v>34</v>
      </c>
      <c r="C187" s="2" t="s">
        <v>63</v>
      </c>
      <c r="D187" s="2" t="s">
        <v>89</v>
      </c>
      <c r="E187" s="2" t="s">
        <v>65</v>
      </c>
      <c r="F187" s="2"/>
      <c r="G187" s="2" t="s">
        <v>71</v>
      </c>
      <c r="H187" s="68"/>
      <c r="I187" s="58">
        <v>6.9999999999999999E-4</v>
      </c>
      <c r="J187" s="63">
        <v>7.5845275000000001</v>
      </c>
      <c r="K187" s="25" t="s">
        <v>78</v>
      </c>
    </row>
    <row r="188" spans="1:11" x14ac:dyDescent="0.35">
      <c r="B188" s="27" t="s">
        <v>34</v>
      </c>
      <c r="C188" s="2" t="s">
        <v>63</v>
      </c>
      <c r="D188" s="2" t="s">
        <v>89</v>
      </c>
      <c r="E188" s="2" t="s">
        <v>69</v>
      </c>
      <c r="F188" s="2"/>
      <c r="G188" s="2" t="s">
        <v>71</v>
      </c>
      <c r="H188" s="68"/>
      <c r="I188" s="58">
        <v>8.0000000000000004E-4</v>
      </c>
      <c r="J188" s="63">
        <v>7.5845275000000001</v>
      </c>
      <c r="K188" s="25" t="s">
        <v>79</v>
      </c>
    </row>
    <row r="189" spans="1:11" s="107" customFormat="1" x14ac:dyDescent="0.35">
      <c r="A189" s="108"/>
      <c r="B189" s="97" t="s">
        <v>34</v>
      </c>
      <c r="C189" s="98" t="s">
        <v>63</v>
      </c>
      <c r="D189" s="98" t="s">
        <v>89</v>
      </c>
      <c r="E189" s="98" t="s">
        <v>65</v>
      </c>
      <c r="F189" s="98"/>
      <c r="G189" s="98" t="s">
        <v>74</v>
      </c>
      <c r="H189" s="99"/>
      <c r="I189" s="100">
        <v>2.9999999999999997E-4</v>
      </c>
      <c r="J189" s="102">
        <v>7.5845275000000001</v>
      </c>
      <c r="K189" s="101" t="s">
        <v>197</v>
      </c>
    </row>
    <row r="190" spans="1:11" s="107" customFormat="1" x14ac:dyDescent="0.35">
      <c r="A190" s="108"/>
      <c r="B190" s="97" t="s">
        <v>34</v>
      </c>
      <c r="C190" s="98" t="s">
        <v>63</v>
      </c>
      <c r="D190" s="98" t="s">
        <v>89</v>
      </c>
      <c r="E190" s="98" t="s">
        <v>69</v>
      </c>
      <c r="F190" s="98"/>
      <c r="G190" s="98" t="s">
        <v>74</v>
      </c>
      <c r="H190" s="99"/>
      <c r="I190" s="100">
        <v>2.9999999999999997E-4</v>
      </c>
      <c r="J190" s="102">
        <v>7.5845275000000001</v>
      </c>
      <c r="K190" s="101" t="s">
        <v>198</v>
      </c>
    </row>
    <row r="191" spans="1:11" x14ac:dyDescent="0.35">
      <c r="B191" s="27" t="s">
        <v>34</v>
      </c>
      <c r="C191" s="2" t="s">
        <v>63</v>
      </c>
      <c r="D191" s="2" t="s">
        <v>90</v>
      </c>
      <c r="E191" s="2" t="s">
        <v>65</v>
      </c>
      <c r="F191" s="2"/>
      <c r="G191" s="2" t="s">
        <v>66</v>
      </c>
      <c r="H191" s="68"/>
      <c r="I191" s="58">
        <v>1.8E-3</v>
      </c>
      <c r="J191" s="63">
        <v>11.0845275</v>
      </c>
      <c r="K191" s="25" t="s">
        <v>200</v>
      </c>
    </row>
    <row r="192" spans="1:11" x14ac:dyDescent="0.35">
      <c r="B192" s="27" t="s">
        <v>34</v>
      </c>
      <c r="C192" s="2" t="s">
        <v>63</v>
      </c>
      <c r="D192" s="2" t="s">
        <v>90</v>
      </c>
      <c r="E192" s="2" t="s">
        <v>69</v>
      </c>
      <c r="F192" s="2"/>
      <c r="G192" s="2" t="s">
        <v>66</v>
      </c>
      <c r="H192" s="68"/>
      <c r="I192" s="58">
        <v>2E-3</v>
      </c>
      <c r="J192" s="63">
        <v>11.0845275</v>
      </c>
      <c r="K192" s="25" t="s">
        <v>201</v>
      </c>
    </row>
    <row r="193" spans="1:11" x14ac:dyDescent="0.35">
      <c r="B193" s="27" t="s">
        <v>34</v>
      </c>
      <c r="C193" s="2" t="s">
        <v>63</v>
      </c>
      <c r="D193" s="2" t="s">
        <v>90</v>
      </c>
      <c r="E193" s="2" t="s">
        <v>65</v>
      </c>
      <c r="F193" s="2"/>
      <c r="G193" s="2" t="s">
        <v>71</v>
      </c>
      <c r="H193" s="68"/>
      <c r="I193" s="58">
        <v>6.9999999999999999E-4</v>
      </c>
      <c r="J193" s="63">
        <v>11.0845275</v>
      </c>
      <c r="K193" s="25" t="s">
        <v>83</v>
      </c>
    </row>
    <row r="194" spans="1:11" x14ac:dyDescent="0.35">
      <c r="B194" s="27" t="s">
        <v>34</v>
      </c>
      <c r="C194" s="2" t="s">
        <v>63</v>
      </c>
      <c r="D194" s="2" t="s">
        <v>90</v>
      </c>
      <c r="E194" s="2" t="s">
        <v>69</v>
      </c>
      <c r="F194" s="2"/>
      <c r="G194" s="2" t="s">
        <v>71</v>
      </c>
      <c r="H194" s="68"/>
      <c r="I194" s="58">
        <v>8.0000000000000004E-4</v>
      </c>
      <c r="J194" s="63">
        <v>11.0845275</v>
      </c>
      <c r="K194" s="25" t="s">
        <v>84</v>
      </c>
    </row>
    <row r="195" spans="1:11" s="107" customFormat="1" x14ac:dyDescent="0.35">
      <c r="A195" s="108"/>
      <c r="B195" s="97" t="s">
        <v>34</v>
      </c>
      <c r="C195" s="98" t="s">
        <v>63</v>
      </c>
      <c r="D195" s="98" t="s">
        <v>90</v>
      </c>
      <c r="E195" s="98" t="s">
        <v>65</v>
      </c>
      <c r="F195" s="98"/>
      <c r="G195" s="98" t="s">
        <v>74</v>
      </c>
      <c r="H195" s="99"/>
      <c r="I195" s="100">
        <v>2.9999999999999997E-4</v>
      </c>
      <c r="J195" s="102">
        <v>11.0845275</v>
      </c>
      <c r="K195" s="101" t="s">
        <v>202</v>
      </c>
    </row>
    <row r="196" spans="1:11" s="107" customFormat="1" x14ac:dyDescent="0.35">
      <c r="A196" s="108"/>
      <c r="B196" s="97" t="s">
        <v>34</v>
      </c>
      <c r="C196" s="98" t="s">
        <v>63</v>
      </c>
      <c r="D196" s="98" t="s">
        <v>90</v>
      </c>
      <c r="E196" s="98" t="s">
        <v>69</v>
      </c>
      <c r="F196" s="98"/>
      <c r="G196" s="98" t="s">
        <v>74</v>
      </c>
      <c r="H196" s="99"/>
      <c r="I196" s="100">
        <v>2.9999999999999997E-4</v>
      </c>
      <c r="J196" s="102">
        <v>11.0845275</v>
      </c>
      <c r="K196" s="101" t="s">
        <v>203</v>
      </c>
    </row>
    <row r="197" spans="1:11" x14ac:dyDescent="0.35">
      <c r="B197" s="27" t="s">
        <v>34</v>
      </c>
      <c r="C197" s="2" t="s">
        <v>63</v>
      </c>
      <c r="D197" s="2" t="s">
        <v>91</v>
      </c>
      <c r="E197" s="2" t="s">
        <v>65</v>
      </c>
      <c r="F197" s="2"/>
      <c r="G197" s="2" t="s">
        <v>66</v>
      </c>
      <c r="H197" s="68"/>
      <c r="I197" s="58">
        <v>1.8E-3</v>
      </c>
      <c r="J197" s="63">
        <v>7.5845275000000001</v>
      </c>
      <c r="K197" s="25" t="s">
        <v>196</v>
      </c>
    </row>
    <row r="198" spans="1:11" x14ac:dyDescent="0.35">
      <c r="B198" s="27" t="s">
        <v>34</v>
      </c>
      <c r="C198" s="2" t="s">
        <v>63</v>
      </c>
      <c r="D198" s="2" t="s">
        <v>91</v>
      </c>
      <c r="E198" s="2" t="s">
        <v>69</v>
      </c>
      <c r="F198" s="2"/>
      <c r="G198" s="2" t="s">
        <v>66</v>
      </c>
      <c r="H198" s="68"/>
      <c r="I198" s="58">
        <v>2E-3</v>
      </c>
      <c r="J198" s="63">
        <v>7.5845275000000001</v>
      </c>
      <c r="K198" s="25" t="s">
        <v>220</v>
      </c>
    </row>
    <row r="199" spans="1:11" x14ac:dyDescent="0.35">
      <c r="B199" s="27" t="s">
        <v>34</v>
      </c>
      <c r="C199" s="2" t="s">
        <v>63</v>
      </c>
      <c r="D199" s="2" t="s">
        <v>91</v>
      </c>
      <c r="E199" s="2" t="s">
        <v>65</v>
      </c>
      <c r="F199" s="2"/>
      <c r="G199" s="2" t="s">
        <v>71</v>
      </c>
      <c r="H199" s="68"/>
      <c r="I199" s="58">
        <v>6.9999999999999999E-4</v>
      </c>
      <c r="J199" s="63">
        <v>7.5845275000000001</v>
      </c>
      <c r="K199" s="25" t="s">
        <v>78</v>
      </c>
    </row>
    <row r="200" spans="1:11" x14ac:dyDescent="0.35">
      <c r="B200" s="27" t="s">
        <v>34</v>
      </c>
      <c r="C200" s="2" t="s">
        <v>63</v>
      </c>
      <c r="D200" s="2" t="s">
        <v>91</v>
      </c>
      <c r="E200" s="2" t="s">
        <v>69</v>
      </c>
      <c r="F200" s="2"/>
      <c r="G200" s="2" t="s">
        <v>71</v>
      </c>
      <c r="H200" s="68"/>
      <c r="I200" s="58">
        <v>8.0000000000000004E-4</v>
      </c>
      <c r="J200" s="63">
        <v>7.5845275000000001</v>
      </c>
      <c r="K200" s="25" t="s">
        <v>79</v>
      </c>
    </row>
    <row r="201" spans="1:11" s="107" customFormat="1" x14ac:dyDescent="0.35">
      <c r="A201" s="108"/>
      <c r="B201" s="97" t="s">
        <v>34</v>
      </c>
      <c r="C201" s="98" t="s">
        <v>63</v>
      </c>
      <c r="D201" s="98" t="s">
        <v>91</v>
      </c>
      <c r="E201" s="98" t="s">
        <v>65</v>
      </c>
      <c r="F201" s="98"/>
      <c r="G201" s="98" t="s">
        <v>74</v>
      </c>
      <c r="H201" s="99"/>
      <c r="I201" s="100">
        <v>2.9999999999999997E-4</v>
      </c>
      <c r="J201" s="102">
        <v>7.5845275000000001</v>
      </c>
      <c r="K201" s="101" t="s">
        <v>197</v>
      </c>
    </row>
    <row r="202" spans="1:11" s="107" customFormat="1" x14ac:dyDescent="0.35">
      <c r="A202" s="108"/>
      <c r="B202" s="97" t="s">
        <v>34</v>
      </c>
      <c r="C202" s="98" t="s">
        <v>63</v>
      </c>
      <c r="D202" s="98" t="s">
        <v>91</v>
      </c>
      <c r="E202" s="98" t="s">
        <v>69</v>
      </c>
      <c r="F202" s="98"/>
      <c r="G202" s="98" t="s">
        <v>74</v>
      </c>
      <c r="H202" s="99"/>
      <c r="I202" s="100">
        <v>2.9999999999999997E-4</v>
      </c>
      <c r="J202" s="102">
        <v>7.5845275000000001</v>
      </c>
      <c r="K202" s="101" t="s">
        <v>198</v>
      </c>
    </row>
    <row r="203" spans="1:11" ht="14.25" customHeight="1" x14ac:dyDescent="0.35">
      <c r="A203" s="38" t="s">
        <v>37</v>
      </c>
      <c r="B203" s="30"/>
      <c r="C203" s="14"/>
      <c r="D203" s="14"/>
      <c r="E203" s="26"/>
      <c r="F203" s="15"/>
      <c r="G203" s="15"/>
      <c r="H203" s="15"/>
      <c r="I203" s="73"/>
      <c r="J203" s="41"/>
      <c r="K203" s="18"/>
    </row>
    <row r="204" spans="1:11" x14ac:dyDescent="0.35">
      <c r="A204" s="71"/>
      <c r="B204" s="27" t="s">
        <v>37</v>
      </c>
      <c r="C204" s="2" t="s">
        <v>63</v>
      </c>
      <c r="D204" s="2" t="s">
        <v>64</v>
      </c>
      <c r="E204" s="2" t="s">
        <v>65</v>
      </c>
      <c r="F204" s="2"/>
      <c r="G204" s="2" t="s">
        <v>66</v>
      </c>
      <c r="H204" s="68"/>
      <c r="I204" s="58">
        <v>1.64E-3</v>
      </c>
      <c r="J204" s="63">
        <v>76.524527500000005</v>
      </c>
      <c r="K204" s="25" t="s">
        <v>204</v>
      </c>
    </row>
    <row r="205" spans="1:11" x14ac:dyDescent="0.35">
      <c r="A205" s="71"/>
      <c r="B205" s="27" t="s">
        <v>37</v>
      </c>
      <c r="C205" s="2" t="s">
        <v>63</v>
      </c>
      <c r="D205" s="2" t="s">
        <v>64</v>
      </c>
      <c r="E205" s="2" t="s">
        <v>69</v>
      </c>
      <c r="F205" s="2"/>
      <c r="G205" s="2" t="s">
        <v>66</v>
      </c>
      <c r="H205" s="68"/>
      <c r="I205" s="58">
        <v>1.7700000000000001E-3</v>
      </c>
      <c r="J205" s="63">
        <v>76.524527500000005</v>
      </c>
      <c r="K205" s="25" t="s">
        <v>205</v>
      </c>
    </row>
    <row r="206" spans="1:11" x14ac:dyDescent="0.35">
      <c r="A206" s="71"/>
      <c r="B206" s="27" t="s">
        <v>37</v>
      </c>
      <c r="C206" s="2" t="s">
        <v>63</v>
      </c>
      <c r="D206" s="2" t="s">
        <v>64</v>
      </c>
      <c r="E206" s="2" t="s">
        <v>65</v>
      </c>
      <c r="F206" s="2"/>
      <c r="G206" s="2" t="s">
        <v>71</v>
      </c>
      <c r="H206" s="68"/>
      <c r="I206" s="58">
        <v>9.8999999999999999E-4</v>
      </c>
      <c r="J206" s="63">
        <v>76.524527500000005</v>
      </c>
      <c r="K206" s="25" t="s">
        <v>94</v>
      </c>
    </row>
    <row r="207" spans="1:11" x14ac:dyDescent="0.35">
      <c r="A207" s="71"/>
      <c r="B207" s="27" t="s">
        <v>37</v>
      </c>
      <c r="C207" s="2" t="s">
        <v>63</v>
      </c>
      <c r="D207" s="2" t="s">
        <v>64</v>
      </c>
      <c r="E207" s="2" t="s">
        <v>69</v>
      </c>
      <c r="F207" s="2"/>
      <c r="G207" s="2" t="s">
        <v>71</v>
      </c>
      <c r="H207" s="68"/>
      <c r="I207" s="58">
        <v>1.1100000000000001E-3</v>
      </c>
      <c r="J207" s="63">
        <v>76.524527500000005</v>
      </c>
      <c r="K207" s="25" t="s">
        <v>95</v>
      </c>
    </row>
    <row r="208" spans="1:11" s="107" customFormat="1" x14ac:dyDescent="0.35">
      <c r="A208" s="106"/>
      <c r="B208" s="97" t="s">
        <v>37</v>
      </c>
      <c r="C208" s="98" t="s">
        <v>63</v>
      </c>
      <c r="D208" s="98" t="s">
        <v>64</v>
      </c>
      <c r="E208" s="98" t="s">
        <v>65</v>
      </c>
      <c r="F208" s="98"/>
      <c r="G208" s="98" t="s">
        <v>74</v>
      </c>
      <c r="H208" s="99"/>
      <c r="I208" s="100">
        <v>9.8999999999999999E-4</v>
      </c>
      <c r="J208" s="102">
        <v>76.524527500000005</v>
      </c>
      <c r="K208" s="101" t="s">
        <v>206</v>
      </c>
    </row>
    <row r="209" spans="1:11" s="107" customFormat="1" x14ac:dyDescent="0.35">
      <c r="A209" s="106"/>
      <c r="B209" s="97" t="s">
        <v>37</v>
      </c>
      <c r="C209" s="98" t="s">
        <v>63</v>
      </c>
      <c r="D209" s="98" t="s">
        <v>64</v>
      </c>
      <c r="E209" s="98" t="s">
        <v>69</v>
      </c>
      <c r="F209" s="98"/>
      <c r="G209" s="98" t="s">
        <v>74</v>
      </c>
      <c r="H209" s="99"/>
      <c r="I209" s="100">
        <v>1.1100000000000001E-3</v>
      </c>
      <c r="J209" s="102">
        <v>76.524527500000005</v>
      </c>
      <c r="K209" s="101" t="s">
        <v>207</v>
      </c>
    </row>
    <row r="210" spans="1:11" x14ac:dyDescent="0.35">
      <c r="B210" s="27" t="s">
        <v>37</v>
      </c>
      <c r="C210" s="2" t="s">
        <v>63</v>
      </c>
      <c r="D210" s="2" t="s">
        <v>131</v>
      </c>
      <c r="E210" s="2" t="s">
        <v>65</v>
      </c>
      <c r="F210" s="2"/>
      <c r="G210" s="2" t="s">
        <v>66</v>
      </c>
      <c r="H210" s="68"/>
      <c r="I210" s="58">
        <v>2.1299999999999999E-3</v>
      </c>
      <c r="J210" s="63">
        <v>47.884527500000004</v>
      </c>
      <c r="K210" s="25" t="s">
        <v>221</v>
      </c>
    </row>
    <row r="211" spans="1:11" x14ac:dyDescent="0.35">
      <c r="B211" s="27" t="s">
        <v>37</v>
      </c>
      <c r="C211" s="2" t="s">
        <v>63</v>
      </c>
      <c r="D211" s="2" t="s">
        <v>131</v>
      </c>
      <c r="E211" s="2" t="s">
        <v>69</v>
      </c>
      <c r="F211" s="2"/>
      <c r="G211" s="2" t="s">
        <v>66</v>
      </c>
      <c r="H211" s="68"/>
      <c r="I211" s="58">
        <v>2.4199999999999998E-3</v>
      </c>
      <c r="J211" s="63">
        <v>47.884527500000004</v>
      </c>
      <c r="K211" s="25" t="s">
        <v>222</v>
      </c>
    </row>
    <row r="212" spans="1:11" x14ac:dyDescent="0.35">
      <c r="B212" s="27" t="s">
        <v>37</v>
      </c>
      <c r="C212" s="2" t="s">
        <v>63</v>
      </c>
      <c r="D212" s="2" t="s">
        <v>131</v>
      </c>
      <c r="E212" s="2" t="s">
        <v>65</v>
      </c>
      <c r="F212" s="2"/>
      <c r="G212" s="2" t="s">
        <v>71</v>
      </c>
      <c r="H212" s="68"/>
      <c r="I212" s="58">
        <v>1.0200000000000001E-3</v>
      </c>
      <c r="J212" s="63">
        <v>47.884527500000004</v>
      </c>
      <c r="K212" s="25" t="s">
        <v>139</v>
      </c>
    </row>
    <row r="213" spans="1:11" x14ac:dyDescent="0.35">
      <c r="B213" s="27" t="s">
        <v>37</v>
      </c>
      <c r="C213" s="2" t="s">
        <v>63</v>
      </c>
      <c r="D213" s="2" t="s">
        <v>131</v>
      </c>
      <c r="E213" s="2" t="s">
        <v>69</v>
      </c>
      <c r="F213" s="2"/>
      <c r="G213" s="2" t="s">
        <v>71</v>
      </c>
      <c r="H213" s="68"/>
      <c r="I213" s="58">
        <v>1.16E-3</v>
      </c>
      <c r="J213" s="63">
        <v>47.884527500000004</v>
      </c>
      <c r="K213" s="25" t="s">
        <v>140</v>
      </c>
    </row>
    <row r="214" spans="1:11" s="107" customFormat="1" x14ac:dyDescent="0.35">
      <c r="A214" s="108"/>
      <c r="B214" s="97" t="s">
        <v>37</v>
      </c>
      <c r="C214" s="98" t="s">
        <v>63</v>
      </c>
      <c r="D214" s="98" t="s">
        <v>131</v>
      </c>
      <c r="E214" s="98" t="s">
        <v>65</v>
      </c>
      <c r="F214" s="98"/>
      <c r="G214" s="98" t="s">
        <v>74</v>
      </c>
      <c r="H214" s="99"/>
      <c r="I214" s="100">
        <v>1.0200000000000001E-3</v>
      </c>
      <c r="J214" s="102">
        <v>47.884527500000004</v>
      </c>
      <c r="K214" s="101" t="s">
        <v>226</v>
      </c>
    </row>
    <row r="215" spans="1:11" s="107" customFormat="1" x14ac:dyDescent="0.35">
      <c r="A215" s="108"/>
      <c r="B215" s="97" t="s">
        <v>37</v>
      </c>
      <c r="C215" s="98" t="s">
        <v>63</v>
      </c>
      <c r="D215" s="98" t="s">
        <v>131</v>
      </c>
      <c r="E215" s="98" t="s">
        <v>69</v>
      </c>
      <c r="F215" s="98"/>
      <c r="G215" s="98" t="s">
        <v>74</v>
      </c>
      <c r="H215" s="99"/>
      <c r="I215" s="100">
        <v>1.16E-3</v>
      </c>
      <c r="J215" s="102">
        <v>47.884527500000004</v>
      </c>
      <c r="K215" s="101" t="s">
        <v>227</v>
      </c>
    </row>
    <row r="216" spans="1:11" x14ac:dyDescent="0.35">
      <c r="B216" s="27" t="s">
        <v>37</v>
      </c>
      <c r="C216" s="2" t="s">
        <v>63</v>
      </c>
      <c r="D216" s="2" t="s">
        <v>75</v>
      </c>
      <c r="E216" s="2" t="s">
        <v>65</v>
      </c>
      <c r="F216" s="2"/>
      <c r="G216" s="2" t="s">
        <v>66</v>
      </c>
      <c r="H216" s="68"/>
      <c r="I216" s="58">
        <v>2E-3</v>
      </c>
      <c r="J216" s="63">
        <v>8.0845275000000001</v>
      </c>
      <c r="K216" s="25" t="s">
        <v>208</v>
      </c>
    </row>
    <row r="217" spans="1:11" x14ac:dyDescent="0.35">
      <c r="B217" s="27" t="s">
        <v>37</v>
      </c>
      <c r="C217" s="2" t="s">
        <v>63</v>
      </c>
      <c r="D217" s="2" t="s">
        <v>75</v>
      </c>
      <c r="E217" s="2" t="s">
        <v>69</v>
      </c>
      <c r="F217" s="2"/>
      <c r="G217" s="2" t="s">
        <v>66</v>
      </c>
      <c r="H217" s="68"/>
      <c r="I217" s="58">
        <v>2.2000000000000001E-3</v>
      </c>
      <c r="J217" s="63">
        <v>8.0845275000000001</v>
      </c>
      <c r="K217" s="25" t="s">
        <v>223</v>
      </c>
    </row>
    <row r="218" spans="1:11" x14ac:dyDescent="0.35">
      <c r="B218" s="27" t="s">
        <v>37</v>
      </c>
      <c r="C218" s="2" t="s">
        <v>63</v>
      </c>
      <c r="D218" s="2" t="s">
        <v>75</v>
      </c>
      <c r="E218" s="2" t="s">
        <v>65</v>
      </c>
      <c r="F218" s="2"/>
      <c r="G218" s="2" t="s">
        <v>71</v>
      </c>
      <c r="H218" s="68"/>
      <c r="I218" s="58">
        <v>6.9999999999999999E-4</v>
      </c>
      <c r="J218" s="63">
        <v>8.0845275000000001</v>
      </c>
      <c r="K218" s="25" t="s">
        <v>98</v>
      </c>
    </row>
    <row r="219" spans="1:11" x14ac:dyDescent="0.35">
      <c r="B219" s="27" t="s">
        <v>37</v>
      </c>
      <c r="C219" s="2" t="s">
        <v>63</v>
      </c>
      <c r="D219" s="2" t="s">
        <v>75</v>
      </c>
      <c r="E219" s="2" t="s">
        <v>69</v>
      </c>
      <c r="F219" s="2"/>
      <c r="G219" s="2" t="s">
        <v>71</v>
      </c>
      <c r="H219" s="68"/>
      <c r="I219" s="58">
        <v>6.9999999999999999E-4</v>
      </c>
      <c r="J219" s="63">
        <v>8.0845275000000001</v>
      </c>
      <c r="K219" s="25" t="s">
        <v>99</v>
      </c>
    </row>
    <row r="220" spans="1:11" s="107" customFormat="1" x14ac:dyDescent="0.35">
      <c r="A220" s="108"/>
      <c r="B220" s="97" t="s">
        <v>37</v>
      </c>
      <c r="C220" s="98" t="s">
        <v>63</v>
      </c>
      <c r="D220" s="98" t="s">
        <v>75</v>
      </c>
      <c r="E220" s="98" t="s">
        <v>65</v>
      </c>
      <c r="F220" s="98"/>
      <c r="G220" s="98" t="s">
        <v>74</v>
      </c>
      <c r="H220" s="99"/>
      <c r="I220" s="100">
        <v>2.0000000000000001E-4</v>
      </c>
      <c r="J220" s="102">
        <v>8.0845275000000001</v>
      </c>
      <c r="K220" s="101" t="s">
        <v>210</v>
      </c>
    </row>
    <row r="221" spans="1:11" s="107" customFormat="1" x14ac:dyDescent="0.35">
      <c r="A221" s="108"/>
      <c r="B221" s="97" t="s">
        <v>37</v>
      </c>
      <c r="C221" s="98" t="s">
        <v>63</v>
      </c>
      <c r="D221" s="98" t="s">
        <v>75</v>
      </c>
      <c r="E221" s="98" t="s">
        <v>69</v>
      </c>
      <c r="F221" s="98"/>
      <c r="G221" s="98" t="s">
        <v>74</v>
      </c>
      <c r="H221" s="99"/>
      <c r="I221" s="100">
        <v>2.0000000000000001E-4</v>
      </c>
      <c r="J221" s="102">
        <v>8.0845275000000001</v>
      </c>
      <c r="K221" s="101" t="s">
        <v>211</v>
      </c>
    </row>
    <row r="222" spans="1:11" x14ac:dyDescent="0.35">
      <c r="B222" s="27" t="s">
        <v>37</v>
      </c>
      <c r="C222" s="2" t="s">
        <v>63</v>
      </c>
      <c r="D222" s="2" t="s">
        <v>80</v>
      </c>
      <c r="E222" s="2" t="s">
        <v>65</v>
      </c>
      <c r="F222" s="2"/>
      <c r="G222" s="2" t="s">
        <v>66</v>
      </c>
      <c r="H222" s="68"/>
      <c r="I222" s="58">
        <v>2E-3</v>
      </c>
      <c r="J222" s="63">
        <v>10.984527499999999</v>
      </c>
      <c r="K222" s="25" t="s">
        <v>224</v>
      </c>
    </row>
    <row r="223" spans="1:11" x14ac:dyDescent="0.35">
      <c r="B223" s="27" t="s">
        <v>37</v>
      </c>
      <c r="C223" s="2" t="s">
        <v>63</v>
      </c>
      <c r="D223" s="2" t="s">
        <v>80</v>
      </c>
      <c r="E223" s="2" t="s">
        <v>69</v>
      </c>
      <c r="F223" s="2"/>
      <c r="G223" s="2" t="s">
        <v>66</v>
      </c>
      <c r="H223" s="68"/>
      <c r="I223" s="58">
        <v>2.2000000000000001E-3</v>
      </c>
      <c r="J223" s="63">
        <v>10.984527499999999</v>
      </c>
      <c r="K223" s="25" t="s">
        <v>225</v>
      </c>
    </row>
    <row r="224" spans="1:11" x14ac:dyDescent="0.35">
      <c r="B224" s="27" t="s">
        <v>37</v>
      </c>
      <c r="C224" s="2" t="s">
        <v>63</v>
      </c>
      <c r="D224" s="2" t="s">
        <v>80</v>
      </c>
      <c r="E224" s="2" t="s">
        <v>65</v>
      </c>
      <c r="F224" s="2"/>
      <c r="G224" s="2" t="s">
        <v>71</v>
      </c>
      <c r="H224" s="68"/>
      <c r="I224" s="58">
        <v>6.9999999999999999E-4</v>
      </c>
      <c r="J224" s="63">
        <v>10.984527499999999</v>
      </c>
      <c r="K224" s="25" t="s">
        <v>102</v>
      </c>
    </row>
    <row r="225" spans="1:11" x14ac:dyDescent="0.35">
      <c r="B225" s="27" t="s">
        <v>37</v>
      </c>
      <c r="C225" s="2" t="s">
        <v>63</v>
      </c>
      <c r="D225" s="2" t="s">
        <v>80</v>
      </c>
      <c r="E225" s="2" t="s">
        <v>69</v>
      </c>
      <c r="F225" s="2"/>
      <c r="G225" s="2" t="s">
        <v>71</v>
      </c>
      <c r="H225" s="68"/>
      <c r="I225" s="58">
        <v>6.9999999999999999E-4</v>
      </c>
      <c r="J225" s="63">
        <v>10.984527499999999</v>
      </c>
      <c r="K225" s="25" t="s">
        <v>103</v>
      </c>
    </row>
    <row r="226" spans="1:11" s="107" customFormat="1" x14ac:dyDescent="0.35">
      <c r="A226" s="108"/>
      <c r="B226" s="97" t="s">
        <v>37</v>
      </c>
      <c r="C226" s="98" t="s">
        <v>63</v>
      </c>
      <c r="D226" s="98" t="s">
        <v>80</v>
      </c>
      <c r="E226" s="98" t="s">
        <v>65</v>
      </c>
      <c r="F226" s="98"/>
      <c r="G226" s="98" t="s">
        <v>74</v>
      </c>
      <c r="H226" s="99"/>
      <c r="I226" s="100">
        <v>2.0000000000000001E-4</v>
      </c>
      <c r="J226" s="102">
        <v>10.984527499999999</v>
      </c>
      <c r="K226" s="101" t="s">
        <v>214</v>
      </c>
    </row>
    <row r="227" spans="1:11" s="107" customFormat="1" x14ac:dyDescent="0.35">
      <c r="A227" s="108"/>
      <c r="B227" s="97" t="s">
        <v>37</v>
      </c>
      <c r="C227" s="98" t="s">
        <v>63</v>
      </c>
      <c r="D227" s="98" t="s">
        <v>80</v>
      </c>
      <c r="E227" s="98" t="s">
        <v>69</v>
      </c>
      <c r="F227" s="98"/>
      <c r="G227" s="98" t="s">
        <v>74</v>
      </c>
      <c r="H227" s="99"/>
      <c r="I227" s="100">
        <v>2.0000000000000001E-4</v>
      </c>
      <c r="J227" s="102">
        <v>10.984527499999999</v>
      </c>
      <c r="K227" s="101" t="s">
        <v>215</v>
      </c>
    </row>
    <row r="228" spans="1:11" x14ac:dyDescent="0.35">
      <c r="B228" s="27" t="s">
        <v>37</v>
      </c>
      <c r="C228" s="2" t="s">
        <v>63</v>
      </c>
      <c r="D228" s="2" t="s">
        <v>85</v>
      </c>
      <c r="E228" s="2" t="s">
        <v>65</v>
      </c>
      <c r="F228" s="2"/>
      <c r="G228" s="2" t="s">
        <v>66</v>
      </c>
      <c r="H228" s="68"/>
      <c r="I228" s="58">
        <v>2E-3</v>
      </c>
      <c r="J228" s="63">
        <v>8.0845275000000001</v>
      </c>
      <c r="K228" s="25" t="s">
        <v>208</v>
      </c>
    </row>
    <row r="229" spans="1:11" x14ac:dyDescent="0.35">
      <c r="B229" s="27" t="s">
        <v>37</v>
      </c>
      <c r="C229" s="2" t="s">
        <v>63</v>
      </c>
      <c r="D229" s="2" t="s">
        <v>85</v>
      </c>
      <c r="E229" s="2" t="s">
        <v>69</v>
      </c>
      <c r="F229" s="2"/>
      <c r="G229" s="2" t="s">
        <v>66</v>
      </c>
      <c r="H229" s="68"/>
      <c r="I229" s="58">
        <v>2.2000000000000001E-3</v>
      </c>
      <c r="J229" s="63">
        <v>8.0845275000000001</v>
      </c>
      <c r="K229" s="25" t="s">
        <v>223</v>
      </c>
    </row>
    <row r="230" spans="1:11" x14ac:dyDescent="0.35">
      <c r="B230" s="27" t="s">
        <v>37</v>
      </c>
      <c r="C230" s="2" t="s">
        <v>63</v>
      </c>
      <c r="D230" s="2" t="s">
        <v>85</v>
      </c>
      <c r="E230" s="2" t="s">
        <v>65</v>
      </c>
      <c r="F230" s="2"/>
      <c r="G230" s="2" t="s">
        <v>71</v>
      </c>
      <c r="H230" s="68"/>
      <c r="I230" s="58">
        <v>6.9999999999999999E-4</v>
      </c>
      <c r="J230" s="63">
        <v>8.0845275000000001</v>
      </c>
      <c r="K230" s="25" t="s">
        <v>98</v>
      </c>
    </row>
    <row r="231" spans="1:11" x14ac:dyDescent="0.35">
      <c r="B231" s="27" t="s">
        <v>37</v>
      </c>
      <c r="C231" s="2" t="s">
        <v>63</v>
      </c>
      <c r="D231" s="2" t="s">
        <v>85</v>
      </c>
      <c r="E231" s="2" t="s">
        <v>69</v>
      </c>
      <c r="F231" s="2"/>
      <c r="G231" s="2" t="s">
        <v>71</v>
      </c>
      <c r="H231" s="68"/>
      <c r="I231" s="58">
        <v>6.9999999999999999E-4</v>
      </c>
      <c r="J231" s="63">
        <v>8.0845275000000001</v>
      </c>
      <c r="K231" s="25" t="s">
        <v>99</v>
      </c>
    </row>
    <row r="232" spans="1:11" s="107" customFormat="1" x14ac:dyDescent="0.35">
      <c r="A232" s="108"/>
      <c r="B232" s="97" t="s">
        <v>37</v>
      </c>
      <c r="C232" s="98" t="s">
        <v>63</v>
      </c>
      <c r="D232" s="98" t="s">
        <v>85</v>
      </c>
      <c r="E232" s="98" t="s">
        <v>65</v>
      </c>
      <c r="F232" s="98"/>
      <c r="G232" s="98" t="s">
        <v>74</v>
      </c>
      <c r="H232" s="99"/>
      <c r="I232" s="100">
        <v>2.0000000000000001E-4</v>
      </c>
      <c r="J232" s="102">
        <v>8.0845275000000001</v>
      </c>
      <c r="K232" s="101" t="s">
        <v>210</v>
      </c>
    </row>
    <row r="233" spans="1:11" s="107" customFormat="1" x14ac:dyDescent="0.35">
      <c r="A233" s="108"/>
      <c r="B233" s="97" t="s">
        <v>37</v>
      </c>
      <c r="C233" s="98" t="s">
        <v>63</v>
      </c>
      <c r="D233" s="98" t="s">
        <v>85</v>
      </c>
      <c r="E233" s="98" t="s">
        <v>69</v>
      </c>
      <c r="F233" s="98"/>
      <c r="G233" s="98" t="s">
        <v>74</v>
      </c>
      <c r="H233" s="99"/>
      <c r="I233" s="100">
        <v>2.0000000000000001E-4</v>
      </c>
      <c r="J233" s="102">
        <v>8.0845275000000001</v>
      </c>
      <c r="K233" s="101" t="s">
        <v>211</v>
      </c>
    </row>
    <row r="234" spans="1:11" x14ac:dyDescent="0.35">
      <c r="B234" s="27" t="s">
        <v>37</v>
      </c>
      <c r="C234" s="2" t="s">
        <v>63</v>
      </c>
      <c r="D234" s="2" t="s">
        <v>86</v>
      </c>
      <c r="E234" s="2" t="s">
        <v>65</v>
      </c>
      <c r="F234" s="2"/>
      <c r="G234" s="2" t="s">
        <v>66</v>
      </c>
      <c r="H234" s="68"/>
      <c r="I234" s="58">
        <v>1.6000000000000001E-3</v>
      </c>
      <c r="J234" s="63">
        <v>7.5845275000000001</v>
      </c>
      <c r="K234" s="25" t="s">
        <v>208</v>
      </c>
    </row>
    <row r="235" spans="1:11" x14ac:dyDescent="0.35">
      <c r="B235" s="27" t="s">
        <v>37</v>
      </c>
      <c r="C235" s="2" t="s">
        <v>63</v>
      </c>
      <c r="D235" s="2" t="s">
        <v>86</v>
      </c>
      <c r="E235" s="2" t="s">
        <v>69</v>
      </c>
      <c r="F235" s="2"/>
      <c r="G235" s="2" t="s">
        <v>66</v>
      </c>
      <c r="H235" s="68"/>
      <c r="I235" s="58">
        <v>1.8E-3</v>
      </c>
      <c r="J235" s="63">
        <v>7.5845275000000001</v>
      </c>
      <c r="K235" s="25" t="s">
        <v>209</v>
      </c>
    </row>
    <row r="236" spans="1:11" x14ac:dyDescent="0.35">
      <c r="B236" s="27" t="s">
        <v>37</v>
      </c>
      <c r="C236" s="2" t="s">
        <v>63</v>
      </c>
      <c r="D236" s="2" t="s">
        <v>86</v>
      </c>
      <c r="E236" s="2" t="s">
        <v>65</v>
      </c>
      <c r="F236" s="2"/>
      <c r="G236" s="2" t="s">
        <v>71</v>
      </c>
      <c r="H236" s="68"/>
      <c r="I236" s="58">
        <v>6.9999999999999999E-4</v>
      </c>
      <c r="J236" s="63">
        <v>7.5845275000000001</v>
      </c>
      <c r="K236" s="25" t="s">
        <v>98</v>
      </c>
    </row>
    <row r="237" spans="1:11" x14ac:dyDescent="0.35">
      <c r="B237" s="27" t="s">
        <v>37</v>
      </c>
      <c r="C237" s="2" t="s">
        <v>63</v>
      </c>
      <c r="D237" s="2" t="s">
        <v>86</v>
      </c>
      <c r="E237" s="2" t="s">
        <v>69</v>
      </c>
      <c r="F237" s="2"/>
      <c r="G237" s="2" t="s">
        <v>71</v>
      </c>
      <c r="H237" s="68"/>
      <c r="I237" s="58">
        <v>6.9999999999999999E-4</v>
      </c>
      <c r="J237" s="63">
        <v>7.5845275000000001</v>
      </c>
      <c r="K237" s="25" t="s">
        <v>99</v>
      </c>
    </row>
    <row r="238" spans="1:11" s="107" customFormat="1" x14ac:dyDescent="0.35">
      <c r="A238" s="108"/>
      <c r="B238" s="97" t="s">
        <v>37</v>
      </c>
      <c r="C238" s="98" t="s">
        <v>63</v>
      </c>
      <c r="D238" s="98" t="s">
        <v>86</v>
      </c>
      <c r="E238" s="98" t="s">
        <v>65</v>
      </c>
      <c r="F238" s="98"/>
      <c r="G238" s="98" t="s">
        <v>74</v>
      </c>
      <c r="H238" s="99"/>
      <c r="I238" s="100">
        <v>2.0000000000000001E-4</v>
      </c>
      <c r="J238" s="102">
        <v>7.5845275000000001</v>
      </c>
      <c r="K238" s="101" t="s">
        <v>210</v>
      </c>
    </row>
    <row r="239" spans="1:11" s="107" customFormat="1" x14ac:dyDescent="0.35">
      <c r="A239" s="108"/>
      <c r="B239" s="97" t="s">
        <v>37</v>
      </c>
      <c r="C239" s="98" t="s">
        <v>63</v>
      </c>
      <c r="D239" s="98" t="s">
        <v>86</v>
      </c>
      <c r="E239" s="98" t="s">
        <v>69</v>
      </c>
      <c r="F239" s="98"/>
      <c r="G239" s="98" t="s">
        <v>74</v>
      </c>
      <c r="H239" s="99"/>
      <c r="I239" s="100">
        <v>2.0000000000000001E-4</v>
      </c>
      <c r="J239" s="102">
        <v>7.5845275000000001</v>
      </c>
      <c r="K239" s="101" t="s">
        <v>211</v>
      </c>
    </row>
    <row r="240" spans="1:11" x14ac:dyDescent="0.35">
      <c r="B240" s="27" t="s">
        <v>37</v>
      </c>
      <c r="C240" s="2" t="s">
        <v>63</v>
      </c>
      <c r="D240" s="2" t="s">
        <v>87</v>
      </c>
      <c r="E240" s="2" t="s">
        <v>65</v>
      </c>
      <c r="F240" s="2"/>
      <c r="G240" s="2" t="s">
        <v>66</v>
      </c>
      <c r="H240" s="68"/>
      <c r="I240" s="58">
        <v>1.6000000000000001E-3</v>
      </c>
      <c r="J240" s="63">
        <v>10.984527499999999</v>
      </c>
      <c r="K240" s="25" t="s">
        <v>212</v>
      </c>
    </row>
    <row r="241" spans="1:11" x14ac:dyDescent="0.35">
      <c r="B241" s="27" t="s">
        <v>37</v>
      </c>
      <c r="C241" s="2" t="s">
        <v>63</v>
      </c>
      <c r="D241" s="2" t="s">
        <v>87</v>
      </c>
      <c r="E241" s="2" t="s">
        <v>69</v>
      </c>
      <c r="F241" s="2"/>
      <c r="G241" s="2" t="s">
        <v>66</v>
      </c>
      <c r="H241" s="68"/>
      <c r="I241" s="58">
        <v>1.8E-3</v>
      </c>
      <c r="J241" s="63">
        <v>10.984527499999999</v>
      </c>
      <c r="K241" s="25" t="s">
        <v>213</v>
      </c>
    </row>
    <row r="242" spans="1:11" x14ac:dyDescent="0.35">
      <c r="B242" s="27" t="s">
        <v>37</v>
      </c>
      <c r="C242" s="2" t="s">
        <v>63</v>
      </c>
      <c r="D242" s="2" t="s">
        <v>87</v>
      </c>
      <c r="E242" s="2" t="s">
        <v>65</v>
      </c>
      <c r="F242" s="2"/>
      <c r="G242" s="2" t="s">
        <v>71</v>
      </c>
      <c r="H242" s="68"/>
      <c r="I242" s="58">
        <v>6.9999999999999999E-4</v>
      </c>
      <c r="J242" s="63">
        <v>10.984527499999999</v>
      </c>
      <c r="K242" s="25" t="s">
        <v>102</v>
      </c>
    </row>
    <row r="243" spans="1:11" x14ac:dyDescent="0.35">
      <c r="B243" s="27" t="s">
        <v>37</v>
      </c>
      <c r="C243" s="2" t="s">
        <v>63</v>
      </c>
      <c r="D243" s="2" t="s">
        <v>87</v>
      </c>
      <c r="E243" s="2" t="s">
        <v>69</v>
      </c>
      <c r="F243" s="2"/>
      <c r="G243" s="2" t="s">
        <v>71</v>
      </c>
      <c r="H243" s="68"/>
      <c r="I243" s="58">
        <v>6.9999999999999999E-4</v>
      </c>
      <c r="J243" s="63">
        <v>10.984527499999999</v>
      </c>
      <c r="K243" s="25" t="s">
        <v>103</v>
      </c>
    </row>
    <row r="244" spans="1:11" s="107" customFormat="1" x14ac:dyDescent="0.35">
      <c r="A244" s="108"/>
      <c r="B244" s="97" t="s">
        <v>37</v>
      </c>
      <c r="C244" s="98" t="s">
        <v>63</v>
      </c>
      <c r="D244" s="98" t="s">
        <v>87</v>
      </c>
      <c r="E244" s="98" t="s">
        <v>65</v>
      </c>
      <c r="F244" s="98"/>
      <c r="G244" s="98" t="s">
        <v>74</v>
      </c>
      <c r="H244" s="99"/>
      <c r="I244" s="100">
        <v>2.0000000000000001E-4</v>
      </c>
      <c r="J244" s="102">
        <v>10.984527499999999</v>
      </c>
      <c r="K244" s="101" t="s">
        <v>214</v>
      </c>
    </row>
    <row r="245" spans="1:11" s="107" customFormat="1" x14ac:dyDescent="0.35">
      <c r="A245" s="108"/>
      <c r="B245" s="97" t="s">
        <v>37</v>
      </c>
      <c r="C245" s="98" t="s">
        <v>63</v>
      </c>
      <c r="D245" s="98" t="s">
        <v>87</v>
      </c>
      <c r="E245" s="98" t="s">
        <v>69</v>
      </c>
      <c r="F245" s="98"/>
      <c r="G245" s="98" t="s">
        <v>74</v>
      </c>
      <c r="H245" s="99"/>
      <c r="I245" s="100">
        <v>2.0000000000000001E-4</v>
      </c>
      <c r="J245" s="102">
        <v>10.984527499999999</v>
      </c>
      <c r="K245" s="101" t="s">
        <v>215</v>
      </c>
    </row>
    <row r="246" spans="1:11" x14ac:dyDescent="0.35">
      <c r="B246" s="27" t="s">
        <v>37</v>
      </c>
      <c r="C246" s="2" t="s">
        <v>63</v>
      </c>
      <c r="D246" s="2" t="s">
        <v>88</v>
      </c>
      <c r="E246" s="2" t="s">
        <v>65</v>
      </c>
      <c r="F246" s="2"/>
      <c r="G246" s="2" t="s">
        <v>66</v>
      </c>
      <c r="H246" s="68"/>
      <c r="I246" s="58">
        <v>1.6000000000000001E-3</v>
      </c>
      <c r="J246" s="63">
        <v>7.5845275000000001</v>
      </c>
      <c r="K246" s="25" t="s">
        <v>208</v>
      </c>
    </row>
    <row r="247" spans="1:11" x14ac:dyDescent="0.35">
      <c r="B247" s="27" t="s">
        <v>37</v>
      </c>
      <c r="C247" s="2" t="s">
        <v>63</v>
      </c>
      <c r="D247" s="2" t="s">
        <v>88</v>
      </c>
      <c r="E247" s="2" t="s">
        <v>69</v>
      </c>
      <c r="F247" s="2"/>
      <c r="G247" s="2" t="s">
        <v>66</v>
      </c>
      <c r="H247" s="68"/>
      <c r="I247" s="58">
        <v>1.8E-3</v>
      </c>
      <c r="J247" s="63">
        <v>7.5845275000000001</v>
      </c>
      <c r="K247" s="25" t="s">
        <v>209</v>
      </c>
    </row>
    <row r="248" spans="1:11" x14ac:dyDescent="0.35">
      <c r="B248" s="27" t="s">
        <v>37</v>
      </c>
      <c r="C248" s="2" t="s">
        <v>63</v>
      </c>
      <c r="D248" s="2" t="s">
        <v>88</v>
      </c>
      <c r="E248" s="2" t="s">
        <v>65</v>
      </c>
      <c r="F248" s="2"/>
      <c r="G248" s="2" t="s">
        <v>71</v>
      </c>
      <c r="H248" s="68"/>
      <c r="I248" s="58">
        <v>6.9999999999999999E-4</v>
      </c>
      <c r="J248" s="63">
        <v>7.5845275000000001</v>
      </c>
      <c r="K248" s="25" t="s">
        <v>98</v>
      </c>
    </row>
    <row r="249" spans="1:11" x14ac:dyDescent="0.35">
      <c r="B249" s="27" t="s">
        <v>37</v>
      </c>
      <c r="C249" s="2" t="s">
        <v>63</v>
      </c>
      <c r="D249" s="2" t="s">
        <v>88</v>
      </c>
      <c r="E249" s="2" t="s">
        <v>69</v>
      </c>
      <c r="F249" s="2"/>
      <c r="G249" s="2" t="s">
        <v>71</v>
      </c>
      <c r="H249" s="68"/>
      <c r="I249" s="58">
        <v>6.9999999999999999E-4</v>
      </c>
      <c r="J249" s="63">
        <v>7.5845275000000001</v>
      </c>
      <c r="K249" s="25" t="s">
        <v>99</v>
      </c>
    </row>
    <row r="250" spans="1:11" s="107" customFormat="1" x14ac:dyDescent="0.35">
      <c r="A250" s="108"/>
      <c r="B250" s="97" t="s">
        <v>37</v>
      </c>
      <c r="C250" s="98" t="s">
        <v>63</v>
      </c>
      <c r="D250" s="98" t="s">
        <v>88</v>
      </c>
      <c r="E250" s="98" t="s">
        <v>65</v>
      </c>
      <c r="F250" s="98"/>
      <c r="G250" s="98" t="s">
        <v>74</v>
      </c>
      <c r="H250" s="99"/>
      <c r="I250" s="100">
        <v>2.0000000000000001E-4</v>
      </c>
      <c r="J250" s="102">
        <v>7.5845275000000001</v>
      </c>
      <c r="K250" s="101" t="s">
        <v>210</v>
      </c>
    </row>
    <row r="251" spans="1:11" s="107" customFormat="1" x14ac:dyDescent="0.35">
      <c r="A251" s="108"/>
      <c r="B251" s="97" t="s">
        <v>37</v>
      </c>
      <c r="C251" s="98" t="s">
        <v>63</v>
      </c>
      <c r="D251" s="98" t="s">
        <v>88</v>
      </c>
      <c r="E251" s="98" t="s">
        <v>69</v>
      </c>
      <c r="F251" s="98"/>
      <c r="G251" s="98" t="s">
        <v>74</v>
      </c>
      <c r="H251" s="99"/>
      <c r="I251" s="100">
        <v>2.0000000000000001E-4</v>
      </c>
      <c r="J251" s="102">
        <v>7.5845275000000001</v>
      </c>
      <c r="K251" s="101" t="s">
        <v>211</v>
      </c>
    </row>
    <row r="252" spans="1:11" x14ac:dyDescent="0.35">
      <c r="B252" s="27" t="s">
        <v>37</v>
      </c>
      <c r="C252" s="2" t="s">
        <v>63</v>
      </c>
      <c r="D252" s="2" t="s">
        <v>89</v>
      </c>
      <c r="E252" s="2" t="s">
        <v>65</v>
      </c>
      <c r="F252" s="2"/>
      <c r="G252" s="2" t="s">
        <v>66</v>
      </c>
      <c r="H252" s="68"/>
      <c r="I252" s="58">
        <v>1.6000000000000001E-3</v>
      </c>
      <c r="J252" s="63">
        <v>7.5845275000000001</v>
      </c>
      <c r="K252" s="25" t="s">
        <v>208</v>
      </c>
    </row>
    <row r="253" spans="1:11" x14ac:dyDescent="0.35">
      <c r="B253" s="27" t="s">
        <v>37</v>
      </c>
      <c r="C253" s="2" t="s">
        <v>63</v>
      </c>
      <c r="D253" s="2" t="s">
        <v>89</v>
      </c>
      <c r="E253" s="2" t="s">
        <v>69</v>
      </c>
      <c r="F253" s="2"/>
      <c r="G253" s="2" t="s">
        <v>66</v>
      </c>
      <c r="H253" s="68"/>
      <c r="I253" s="58">
        <v>1.8E-3</v>
      </c>
      <c r="J253" s="63">
        <v>7.5845275000000001</v>
      </c>
      <c r="K253" s="25" t="s">
        <v>209</v>
      </c>
    </row>
    <row r="254" spans="1:11" x14ac:dyDescent="0.35">
      <c r="B254" s="27" t="s">
        <v>37</v>
      </c>
      <c r="C254" s="2" t="s">
        <v>63</v>
      </c>
      <c r="D254" s="2" t="s">
        <v>89</v>
      </c>
      <c r="E254" s="2" t="s">
        <v>65</v>
      </c>
      <c r="F254" s="2"/>
      <c r="G254" s="2" t="s">
        <v>71</v>
      </c>
      <c r="H254" s="68"/>
      <c r="I254" s="58">
        <v>6.9999999999999999E-4</v>
      </c>
      <c r="J254" s="63">
        <v>7.5845275000000001</v>
      </c>
      <c r="K254" s="25" t="s">
        <v>98</v>
      </c>
    </row>
    <row r="255" spans="1:11" x14ac:dyDescent="0.35">
      <c r="B255" s="27" t="s">
        <v>37</v>
      </c>
      <c r="C255" s="2" t="s">
        <v>63</v>
      </c>
      <c r="D255" s="2" t="s">
        <v>89</v>
      </c>
      <c r="E255" s="2" t="s">
        <v>69</v>
      </c>
      <c r="F255" s="2"/>
      <c r="G255" s="2" t="s">
        <v>71</v>
      </c>
      <c r="H255" s="68"/>
      <c r="I255" s="58">
        <v>6.9999999999999999E-4</v>
      </c>
      <c r="J255" s="63">
        <v>7.5845275000000001</v>
      </c>
      <c r="K255" s="25" t="s">
        <v>99</v>
      </c>
    </row>
    <row r="256" spans="1:11" s="107" customFormat="1" x14ac:dyDescent="0.35">
      <c r="A256" s="108"/>
      <c r="B256" s="97" t="s">
        <v>37</v>
      </c>
      <c r="C256" s="98" t="s">
        <v>63</v>
      </c>
      <c r="D256" s="98" t="s">
        <v>89</v>
      </c>
      <c r="E256" s="98" t="s">
        <v>65</v>
      </c>
      <c r="F256" s="98"/>
      <c r="G256" s="98" t="s">
        <v>74</v>
      </c>
      <c r="H256" s="99"/>
      <c r="I256" s="100">
        <v>2.0000000000000001E-4</v>
      </c>
      <c r="J256" s="102">
        <v>7.5845275000000001</v>
      </c>
      <c r="K256" s="101" t="s">
        <v>210</v>
      </c>
    </row>
    <row r="257" spans="1:11" s="107" customFormat="1" x14ac:dyDescent="0.35">
      <c r="A257" s="108"/>
      <c r="B257" s="97" t="s">
        <v>37</v>
      </c>
      <c r="C257" s="98" t="s">
        <v>63</v>
      </c>
      <c r="D257" s="98" t="s">
        <v>89</v>
      </c>
      <c r="E257" s="98" t="s">
        <v>69</v>
      </c>
      <c r="F257" s="98"/>
      <c r="G257" s="98" t="s">
        <v>74</v>
      </c>
      <c r="H257" s="99"/>
      <c r="I257" s="100">
        <v>2.0000000000000001E-4</v>
      </c>
      <c r="J257" s="102">
        <v>7.5845275000000001</v>
      </c>
      <c r="K257" s="101" t="s">
        <v>211</v>
      </c>
    </row>
    <row r="258" spans="1:11" x14ac:dyDescent="0.35">
      <c r="B258" s="27" t="s">
        <v>37</v>
      </c>
      <c r="C258" s="2" t="s">
        <v>63</v>
      </c>
      <c r="D258" s="2" t="s">
        <v>90</v>
      </c>
      <c r="E258" s="2" t="s">
        <v>65</v>
      </c>
      <c r="F258" s="2"/>
      <c r="G258" s="2" t="s">
        <v>66</v>
      </c>
      <c r="H258" s="68"/>
      <c r="I258" s="58">
        <v>1.6000000000000001E-3</v>
      </c>
      <c r="J258" s="63">
        <v>10.984527499999999</v>
      </c>
      <c r="K258" s="25" t="s">
        <v>212</v>
      </c>
    </row>
    <row r="259" spans="1:11" x14ac:dyDescent="0.35">
      <c r="B259" s="27" t="s">
        <v>37</v>
      </c>
      <c r="C259" s="2" t="s">
        <v>63</v>
      </c>
      <c r="D259" s="2" t="s">
        <v>90</v>
      </c>
      <c r="E259" s="2" t="s">
        <v>69</v>
      </c>
      <c r="F259" s="2"/>
      <c r="G259" s="2" t="s">
        <v>66</v>
      </c>
      <c r="H259" s="68"/>
      <c r="I259" s="58">
        <v>1.8E-3</v>
      </c>
      <c r="J259" s="63">
        <v>10.984527499999999</v>
      </c>
      <c r="K259" s="25" t="s">
        <v>213</v>
      </c>
    </row>
    <row r="260" spans="1:11" x14ac:dyDescent="0.35">
      <c r="B260" s="27" t="s">
        <v>37</v>
      </c>
      <c r="C260" s="2" t="s">
        <v>63</v>
      </c>
      <c r="D260" s="2" t="s">
        <v>90</v>
      </c>
      <c r="E260" s="2" t="s">
        <v>65</v>
      </c>
      <c r="F260" s="2"/>
      <c r="G260" s="2" t="s">
        <v>71</v>
      </c>
      <c r="H260" s="68"/>
      <c r="I260" s="58">
        <v>6.9999999999999999E-4</v>
      </c>
      <c r="J260" s="63">
        <v>10.984527499999999</v>
      </c>
      <c r="K260" s="25" t="s">
        <v>102</v>
      </c>
    </row>
    <row r="261" spans="1:11" x14ac:dyDescent="0.35">
      <c r="B261" s="27" t="s">
        <v>37</v>
      </c>
      <c r="C261" s="2" t="s">
        <v>63</v>
      </c>
      <c r="D261" s="2" t="s">
        <v>90</v>
      </c>
      <c r="E261" s="2" t="s">
        <v>69</v>
      </c>
      <c r="F261" s="2"/>
      <c r="G261" s="2" t="s">
        <v>71</v>
      </c>
      <c r="H261" s="68"/>
      <c r="I261" s="58">
        <v>6.9999999999999999E-4</v>
      </c>
      <c r="J261" s="63">
        <v>10.984527499999999</v>
      </c>
      <c r="K261" s="25" t="s">
        <v>103</v>
      </c>
    </row>
    <row r="262" spans="1:11" s="107" customFormat="1" x14ac:dyDescent="0.35">
      <c r="A262" s="108"/>
      <c r="B262" s="97" t="s">
        <v>37</v>
      </c>
      <c r="C262" s="98" t="s">
        <v>63</v>
      </c>
      <c r="D262" s="98" t="s">
        <v>90</v>
      </c>
      <c r="E262" s="98" t="s">
        <v>65</v>
      </c>
      <c r="F262" s="98"/>
      <c r="G262" s="98" t="s">
        <v>74</v>
      </c>
      <c r="H262" s="99"/>
      <c r="I262" s="100">
        <v>2.0000000000000001E-4</v>
      </c>
      <c r="J262" s="102">
        <v>10.984527499999999</v>
      </c>
      <c r="K262" s="101" t="s">
        <v>214</v>
      </c>
    </row>
    <row r="263" spans="1:11" s="107" customFormat="1" x14ac:dyDescent="0.35">
      <c r="A263" s="108"/>
      <c r="B263" s="97" t="s">
        <v>37</v>
      </c>
      <c r="C263" s="98" t="s">
        <v>63</v>
      </c>
      <c r="D263" s="98" t="s">
        <v>90</v>
      </c>
      <c r="E263" s="98" t="s">
        <v>69</v>
      </c>
      <c r="F263" s="98"/>
      <c r="G263" s="98" t="s">
        <v>74</v>
      </c>
      <c r="H263" s="99"/>
      <c r="I263" s="100">
        <v>2.0000000000000001E-4</v>
      </c>
      <c r="J263" s="102">
        <v>10.984527499999999</v>
      </c>
      <c r="K263" s="101" t="s">
        <v>215</v>
      </c>
    </row>
    <row r="264" spans="1:11" x14ac:dyDescent="0.35">
      <c r="B264" s="27" t="s">
        <v>37</v>
      </c>
      <c r="C264" s="2" t="s">
        <v>63</v>
      </c>
      <c r="D264" s="2" t="s">
        <v>91</v>
      </c>
      <c r="E264" s="2" t="s">
        <v>65</v>
      </c>
      <c r="F264" s="2"/>
      <c r="G264" s="2" t="s">
        <v>66</v>
      </c>
      <c r="H264" s="68"/>
      <c r="I264" s="58">
        <v>1.6000000000000001E-3</v>
      </c>
      <c r="J264" s="63">
        <v>7.5845275000000001</v>
      </c>
      <c r="K264" s="25" t="s">
        <v>208</v>
      </c>
    </row>
    <row r="265" spans="1:11" x14ac:dyDescent="0.35">
      <c r="B265" s="27" t="s">
        <v>37</v>
      </c>
      <c r="C265" s="2" t="s">
        <v>63</v>
      </c>
      <c r="D265" s="2" t="s">
        <v>91</v>
      </c>
      <c r="E265" s="2" t="s">
        <v>69</v>
      </c>
      <c r="F265" s="2"/>
      <c r="G265" s="2" t="s">
        <v>66</v>
      </c>
      <c r="H265" s="68"/>
      <c r="I265" s="58">
        <v>1.8E-3</v>
      </c>
      <c r="J265" s="63">
        <v>7.5845275000000001</v>
      </c>
      <c r="K265" s="25" t="s">
        <v>209</v>
      </c>
    </row>
    <row r="266" spans="1:11" x14ac:dyDescent="0.35">
      <c r="B266" s="27" t="s">
        <v>37</v>
      </c>
      <c r="C266" s="2" t="s">
        <v>63</v>
      </c>
      <c r="D266" s="2" t="s">
        <v>91</v>
      </c>
      <c r="E266" s="2" t="s">
        <v>65</v>
      </c>
      <c r="F266" s="2"/>
      <c r="G266" s="2" t="s">
        <v>71</v>
      </c>
      <c r="H266" s="68"/>
      <c r="I266" s="58">
        <v>6.9999999999999999E-4</v>
      </c>
      <c r="J266" s="63">
        <v>7.5845275000000001</v>
      </c>
      <c r="K266" s="25" t="s">
        <v>98</v>
      </c>
    </row>
    <row r="267" spans="1:11" x14ac:dyDescent="0.35">
      <c r="B267" s="27" t="s">
        <v>37</v>
      </c>
      <c r="C267" s="2" t="s">
        <v>63</v>
      </c>
      <c r="D267" s="2" t="s">
        <v>91</v>
      </c>
      <c r="E267" s="2" t="s">
        <v>69</v>
      </c>
      <c r="F267" s="2"/>
      <c r="G267" s="2" t="s">
        <v>71</v>
      </c>
      <c r="H267" s="68"/>
      <c r="I267" s="58">
        <v>6.9999999999999999E-4</v>
      </c>
      <c r="J267" s="63">
        <v>7.5845275000000001</v>
      </c>
      <c r="K267" s="25" t="s">
        <v>99</v>
      </c>
    </row>
    <row r="268" spans="1:11" s="107" customFormat="1" x14ac:dyDescent="0.35">
      <c r="A268" s="108"/>
      <c r="B268" s="97" t="s">
        <v>37</v>
      </c>
      <c r="C268" s="98" t="s">
        <v>63</v>
      </c>
      <c r="D268" s="98" t="s">
        <v>91</v>
      </c>
      <c r="E268" s="98" t="s">
        <v>65</v>
      </c>
      <c r="F268" s="98"/>
      <c r="G268" s="98" t="s">
        <v>74</v>
      </c>
      <c r="H268" s="99"/>
      <c r="I268" s="100">
        <v>2.0000000000000001E-4</v>
      </c>
      <c r="J268" s="102">
        <v>7.5845275000000001</v>
      </c>
      <c r="K268" s="101" t="s">
        <v>210</v>
      </c>
    </row>
    <row r="269" spans="1:11" s="107" customFormat="1" x14ac:dyDescent="0.35">
      <c r="A269" s="108"/>
      <c r="B269" s="97" t="s">
        <v>37</v>
      </c>
      <c r="C269" s="98" t="s">
        <v>63</v>
      </c>
      <c r="D269" s="98" t="s">
        <v>91</v>
      </c>
      <c r="E269" s="98" t="s">
        <v>69</v>
      </c>
      <c r="F269" s="98"/>
      <c r="G269" s="98" t="s">
        <v>74</v>
      </c>
      <c r="H269" s="99"/>
      <c r="I269" s="100">
        <v>2.0000000000000001E-4</v>
      </c>
      <c r="J269" s="102">
        <v>7.5845275000000001</v>
      </c>
      <c r="K269" s="101" t="s">
        <v>211</v>
      </c>
    </row>
    <row r="270" spans="1:11" ht="15.5" x14ac:dyDescent="0.35">
      <c r="A270" s="38" t="s">
        <v>40</v>
      </c>
      <c r="B270" s="30"/>
      <c r="C270" s="14"/>
      <c r="D270" s="14"/>
      <c r="E270" s="26"/>
      <c r="F270" s="15"/>
      <c r="G270" s="15"/>
      <c r="H270" s="15"/>
      <c r="I270" s="73"/>
      <c r="J270" s="41"/>
      <c r="K270" s="18"/>
    </row>
    <row r="271" spans="1:11" x14ac:dyDescent="0.35">
      <c r="A271" s="2"/>
      <c r="B271" s="27" t="s">
        <v>40</v>
      </c>
      <c r="C271" s="2" t="s">
        <v>63</v>
      </c>
      <c r="D271" s="2" t="s">
        <v>64</v>
      </c>
      <c r="E271" s="2" t="s">
        <v>69</v>
      </c>
      <c r="F271" s="2"/>
      <c r="G271" s="1" t="s">
        <v>66</v>
      </c>
      <c r="H271" s="2"/>
      <c r="I271" s="58">
        <v>1.8E-3</v>
      </c>
      <c r="J271" s="63">
        <f>97.571352-(1025*9.81*2025)/1000000</f>
        <v>77.209470750000008</v>
      </c>
      <c r="K271" s="25" t="s">
        <v>104</v>
      </c>
    </row>
    <row r="272" spans="1:11" x14ac:dyDescent="0.35">
      <c r="A272" s="2"/>
      <c r="B272" s="27" t="s">
        <v>40</v>
      </c>
      <c r="C272" s="2" t="s">
        <v>63</v>
      </c>
      <c r="D272" s="2" t="s">
        <v>64</v>
      </c>
      <c r="E272" s="2" t="s">
        <v>65</v>
      </c>
      <c r="F272" s="2"/>
      <c r="G272" s="1" t="s">
        <v>66</v>
      </c>
      <c r="H272" s="2"/>
      <c r="I272" s="58">
        <v>1.6100000000000001E-3</v>
      </c>
      <c r="J272" s="63">
        <f t="shared" ref="J272:J274" si="0">97.571352-(1025*9.81*2025)/1000000</f>
        <v>77.209470750000008</v>
      </c>
      <c r="K272" s="25" t="s">
        <v>105</v>
      </c>
    </row>
    <row r="273" spans="1:11" x14ac:dyDescent="0.35">
      <c r="A273" s="2"/>
      <c r="B273" s="27" t="s">
        <v>40</v>
      </c>
      <c r="C273" s="2" t="s">
        <v>63</v>
      </c>
      <c r="D273" s="2" t="s">
        <v>64</v>
      </c>
      <c r="E273" s="2" t="s">
        <v>69</v>
      </c>
      <c r="F273" s="2"/>
      <c r="G273" s="1" t="s">
        <v>71</v>
      </c>
      <c r="H273" s="2"/>
      <c r="I273" s="58">
        <v>1.0399999999999999E-3</v>
      </c>
      <c r="J273" s="63">
        <f t="shared" si="0"/>
        <v>77.209470750000008</v>
      </c>
      <c r="K273" s="25" t="s">
        <v>106</v>
      </c>
    </row>
    <row r="274" spans="1:11" x14ac:dyDescent="0.35">
      <c r="A274" s="2"/>
      <c r="B274" s="27" t="s">
        <v>40</v>
      </c>
      <c r="C274" s="2" t="s">
        <v>63</v>
      </c>
      <c r="D274" s="2" t="s">
        <v>64</v>
      </c>
      <c r="E274" s="2" t="s">
        <v>65</v>
      </c>
      <c r="F274" s="2"/>
      <c r="G274" s="1" t="s">
        <v>71</v>
      </c>
      <c r="H274" s="2"/>
      <c r="I274" s="58">
        <v>9.3999999999999997E-4</v>
      </c>
      <c r="J274" s="63">
        <f t="shared" si="0"/>
        <v>77.209470750000008</v>
      </c>
      <c r="K274" s="25" t="s">
        <v>107</v>
      </c>
    </row>
    <row r="275" spans="1:11" x14ac:dyDescent="0.35">
      <c r="A275" s="2"/>
      <c r="B275" s="27" t="s">
        <v>40</v>
      </c>
      <c r="C275" s="2" t="s">
        <v>63</v>
      </c>
      <c r="D275" s="2" t="s">
        <v>131</v>
      </c>
      <c r="E275" s="2" t="s">
        <v>69</v>
      </c>
      <c r="F275" s="2"/>
      <c r="G275" s="1" t="s">
        <v>66</v>
      </c>
      <c r="H275" s="2"/>
      <c r="I275" s="58">
        <v>2.7499999999999998E-3</v>
      </c>
      <c r="J275" s="63">
        <f>69-(1025*9.81*2025)/1000000</f>
        <v>48.638118750000004</v>
      </c>
      <c r="K275" s="64" t="s">
        <v>141</v>
      </c>
    </row>
    <row r="276" spans="1:11" x14ac:dyDescent="0.35">
      <c r="A276" s="2"/>
      <c r="B276" s="27" t="s">
        <v>40</v>
      </c>
      <c r="C276" s="2" t="s">
        <v>63</v>
      </c>
      <c r="D276" s="2" t="s">
        <v>131</v>
      </c>
      <c r="E276" s="2" t="s">
        <v>65</v>
      </c>
      <c r="F276" s="2"/>
      <c r="G276" s="1" t="s">
        <v>66</v>
      </c>
      <c r="H276" s="2"/>
      <c r="I276" s="58">
        <v>2.4599999999999999E-3</v>
      </c>
      <c r="J276" s="63">
        <f t="shared" ref="J276:J278" si="1">69-(1025*9.81*2025)/1000000</f>
        <v>48.638118750000004</v>
      </c>
      <c r="K276" s="64" t="s">
        <v>142</v>
      </c>
    </row>
    <row r="277" spans="1:11" x14ac:dyDescent="0.35">
      <c r="A277" s="2"/>
      <c r="B277" s="27" t="s">
        <v>40</v>
      </c>
      <c r="C277" s="2" t="s">
        <v>63</v>
      </c>
      <c r="D277" s="2" t="s">
        <v>131</v>
      </c>
      <c r="E277" s="2" t="s">
        <v>69</v>
      </c>
      <c r="F277" s="2"/>
      <c r="G277" s="1" t="s">
        <v>71</v>
      </c>
      <c r="H277" s="2"/>
      <c r="I277" s="58">
        <v>8.8999999999999995E-4</v>
      </c>
      <c r="J277" s="63">
        <f t="shared" si="1"/>
        <v>48.638118750000004</v>
      </c>
      <c r="K277" s="64" t="s">
        <v>143</v>
      </c>
    </row>
    <row r="278" spans="1:11" x14ac:dyDescent="0.35">
      <c r="A278" s="2"/>
      <c r="B278" s="27" t="s">
        <v>40</v>
      </c>
      <c r="C278" s="2" t="s">
        <v>63</v>
      </c>
      <c r="D278" s="2" t="s">
        <v>131</v>
      </c>
      <c r="E278" s="2" t="s">
        <v>65</v>
      </c>
      <c r="F278" s="2"/>
      <c r="G278" s="1" t="s">
        <v>71</v>
      </c>
      <c r="H278" s="2"/>
      <c r="I278" s="58">
        <v>8.0000000000000004E-4</v>
      </c>
      <c r="J278" s="63">
        <f t="shared" si="1"/>
        <v>48.638118750000004</v>
      </c>
      <c r="K278" s="64" t="s">
        <v>144</v>
      </c>
    </row>
    <row r="279" spans="1:11" x14ac:dyDescent="0.35">
      <c r="A279" s="2"/>
      <c r="B279" s="27" t="s">
        <v>40</v>
      </c>
      <c r="C279" s="2" t="s">
        <v>63</v>
      </c>
      <c r="D279" s="2" t="s">
        <v>75</v>
      </c>
      <c r="E279" s="2" t="s">
        <v>69</v>
      </c>
      <c r="F279" s="2"/>
      <c r="G279" s="1" t="s">
        <v>66</v>
      </c>
      <c r="H279" s="2"/>
      <c r="I279" s="58">
        <v>2.2699999999999999E-3</v>
      </c>
      <c r="J279" s="63">
        <f>32.26318-(1025*9.81*2025)/1000000</f>
        <v>11.901298749999999</v>
      </c>
      <c r="K279" s="64" t="s">
        <v>108</v>
      </c>
    </row>
    <row r="280" spans="1:11" x14ac:dyDescent="0.35">
      <c r="A280" s="2"/>
      <c r="B280" s="27" t="s">
        <v>40</v>
      </c>
      <c r="C280" s="2" t="s">
        <v>63</v>
      </c>
      <c r="D280" s="2" t="s">
        <v>75</v>
      </c>
      <c r="E280" s="2" t="s">
        <v>65</v>
      </c>
      <c r="F280" s="2"/>
      <c r="G280" s="1" t="s">
        <v>66</v>
      </c>
      <c r="H280" s="2"/>
      <c r="I280" s="58">
        <v>2.0200000000000001E-3</v>
      </c>
      <c r="J280" s="63">
        <f t="shared" ref="J280:J286" si="2">32.26318-(1025*9.81*2025)/1000000</f>
        <v>11.901298749999999</v>
      </c>
      <c r="K280" s="64" t="s">
        <v>109</v>
      </c>
    </row>
    <row r="281" spans="1:11" x14ac:dyDescent="0.35">
      <c r="A281" s="2"/>
      <c r="B281" s="27" t="s">
        <v>40</v>
      </c>
      <c r="C281" s="2" t="s">
        <v>63</v>
      </c>
      <c r="D281" s="2" t="s">
        <v>75</v>
      </c>
      <c r="E281" s="2" t="s">
        <v>69</v>
      </c>
      <c r="F281" s="2"/>
      <c r="G281" s="1" t="s">
        <v>71</v>
      </c>
      <c r="H281" s="2"/>
      <c r="I281" s="58">
        <v>7.6000000000000004E-4</v>
      </c>
      <c r="J281" s="63">
        <f t="shared" si="2"/>
        <v>11.901298749999999</v>
      </c>
      <c r="K281" s="64" t="s">
        <v>110</v>
      </c>
    </row>
    <row r="282" spans="1:11" x14ac:dyDescent="0.35">
      <c r="B282" s="27" t="s">
        <v>40</v>
      </c>
      <c r="C282" s="2" t="s">
        <v>63</v>
      </c>
      <c r="D282" s="2" t="s">
        <v>75</v>
      </c>
      <c r="E282" s="2" t="s">
        <v>65</v>
      </c>
      <c r="F282" s="2"/>
      <c r="G282" s="1" t="s">
        <v>71</v>
      </c>
      <c r="H282" s="2"/>
      <c r="I282" s="58">
        <v>6.8000000000000005E-4</v>
      </c>
      <c r="J282" s="63">
        <f t="shared" si="2"/>
        <v>11.901298749999999</v>
      </c>
      <c r="K282" s="64" t="s">
        <v>111</v>
      </c>
    </row>
    <row r="283" spans="1:11" x14ac:dyDescent="0.35">
      <c r="B283" s="27" t="s">
        <v>40</v>
      </c>
      <c r="C283" s="2" t="s">
        <v>63</v>
      </c>
      <c r="D283" s="2" t="s">
        <v>85</v>
      </c>
      <c r="E283" s="2" t="s">
        <v>69</v>
      </c>
      <c r="F283" s="2"/>
      <c r="G283" s="1" t="s">
        <v>66</v>
      </c>
      <c r="H283" s="2"/>
      <c r="I283" s="58">
        <v>2.2699999999999999E-3</v>
      </c>
      <c r="J283" s="63">
        <f>32.26318-(1025*9.81*2025)/1000000</f>
        <v>11.901298749999999</v>
      </c>
      <c r="K283" s="64" t="s">
        <v>108</v>
      </c>
    </row>
    <row r="284" spans="1:11" x14ac:dyDescent="0.35">
      <c r="B284" s="27" t="s">
        <v>40</v>
      </c>
      <c r="C284" s="2" t="s">
        <v>63</v>
      </c>
      <c r="D284" s="2" t="s">
        <v>85</v>
      </c>
      <c r="E284" s="2" t="s">
        <v>65</v>
      </c>
      <c r="F284" s="2"/>
      <c r="G284" s="1" t="s">
        <v>66</v>
      </c>
      <c r="H284" s="2"/>
      <c r="I284" s="58">
        <v>2.0200000000000001E-3</v>
      </c>
      <c r="J284" s="63">
        <f t="shared" si="2"/>
        <v>11.901298749999999</v>
      </c>
      <c r="K284" s="64" t="s">
        <v>109</v>
      </c>
    </row>
    <row r="285" spans="1:11" x14ac:dyDescent="0.35">
      <c r="B285" s="27" t="s">
        <v>40</v>
      </c>
      <c r="C285" s="2" t="s">
        <v>63</v>
      </c>
      <c r="D285" s="2" t="s">
        <v>85</v>
      </c>
      <c r="E285" s="2" t="s">
        <v>69</v>
      </c>
      <c r="F285" s="2"/>
      <c r="G285" s="1" t="s">
        <v>71</v>
      </c>
      <c r="H285" s="2"/>
      <c r="I285" s="58">
        <v>7.6000000000000004E-4</v>
      </c>
      <c r="J285" s="63">
        <f t="shared" si="2"/>
        <v>11.901298749999999</v>
      </c>
      <c r="K285" s="64" t="s">
        <v>110</v>
      </c>
    </row>
    <row r="286" spans="1:11" x14ac:dyDescent="0.35">
      <c r="B286" s="27" t="s">
        <v>40</v>
      </c>
      <c r="C286" s="2" t="s">
        <v>63</v>
      </c>
      <c r="D286" s="2" t="s">
        <v>85</v>
      </c>
      <c r="E286" s="2" t="s">
        <v>65</v>
      </c>
      <c r="F286" s="2"/>
      <c r="G286" s="1" t="s">
        <v>71</v>
      </c>
      <c r="H286" s="2"/>
      <c r="I286" s="58">
        <v>6.8000000000000005E-4</v>
      </c>
      <c r="J286" s="63">
        <f t="shared" si="2"/>
        <v>11.901298749999999</v>
      </c>
      <c r="K286" s="64" t="s">
        <v>111</v>
      </c>
    </row>
    <row r="287" spans="1:11" ht="15.5" x14ac:dyDescent="0.35">
      <c r="A287" s="38" t="s">
        <v>51</v>
      </c>
      <c r="B287" s="31"/>
      <c r="C287" s="14"/>
      <c r="D287" s="14"/>
      <c r="E287" s="26"/>
      <c r="F287" s="15"/>
      <c r="G287" s="15"/>
      <c r="H287" s="15"/>
      <c r="I287" s="73"/>
      <c r="J287" s="41"/>
      <c r="K287" s="18"/>
    </row>
    <row r="288" spans="1:11" x14ac:dyDescent="0.35">
      <c r="B288" s="27" t="s">
        <v>45</v>
      </c>
      <c r="C288" s="2" t="s">
        <v>63</v>
      </c>
      <c r="D288" s="2" t="s">
        <v>64</v>
      </c>
      <c r="E288" s="2" t="s">
        <v>69</v>
      </c>
      <c r="F288" s="2"/>
      <c r="G288" s="1" t="s">
        <v>66</v>
      </c>
      <c r="H288" s="2"/>
      <c r="I288" s="58">
        <v>2.1900000000000001E-3</v>
      </c>
      <c r="J288" s="63">
        <f>97.5-(1025*9.81*2011)/1000000</f>
        <v>77.278892249999998</v>
      </c>
      <c r="K288" s="25" t="s">
        <v>104</v>
      </c>
    </row>
    <row r="289" spans="2:11" x14ac:dyDescent="0.35">
      <c r="B289" s="27" t="s">
        <v>45</v>
      </c>
      <c r="C289" s="2" t="s">
        <v>63</v>
      </c>
      <c r="D289" s="2" t="s">
        <v>64</v>
      </c>
      <c r="E289" s="2" t="s">
        <v>65</v>
      </c>
      <c r="F289" s="2"/>
      <c r="G289" s="1" t="s">
        <v>66</v>
      </c>
      <c r="H289" s="2"/>
      <c r="I289" s="58">
        <v>1.98E-3</v>
      </c>
      <c r="J289" s="63">
        <f t="shared" ref="J289:J291" si="3">97.5-(1025*9.81*2011)/1000000</f>
        <v>77.278892249999998</v>
      </c>
      <c r="K289" s="25" t="s">
        <v>105</v>
      </c>
    </row>
    <row r="290" spans="2:11" x14ac:dyDescent="0.35">
      <c r="B290" s="27" t="s">
        <v>45</v>
      </c>
      <c r="C290" s="2" t="s">
        <v>63</v>
      </c>
      <c r="D290" s="2" t="s">
        <v>64</v>
      </c>
      <c r="E290" s="2" t="s">
        <v>69</v>
      </c>
      <c r="F290" s="2"/>
      <c r="G290" s="1" t="s">
        <v>71</v>
      </c>
      <c r="H290" s="2"/>
      <c r="I290" s="58">
        <v>1.2099999999999999E-3</v>
      </c>
      <c r="J290" s="63">
        <f t="shared" si="3"/>
        <v>77.278892249999998</v>
      </c>
      <c r="K290" s="25" t="s">
        <v>106</v>
      </c>
    </row>
    <row r="291" spans="2:11" x14ac:dyDescent="0.35">
      <c r="B291" s="27" t="s">
        <v>45</v>
      </c>
      <c r="C291" s="2" t="s">
        <v>63</v>
      </c>
      <c r="D291" s="2" t="s">
        <v>64</v>
      </c>
      <c r="E291" s="2" t="s">
        <v>65</v>
      </c>
      <c r="F291" s="2"/>
      <c r="G291" s="1" t="s">
        <v>71</v>
      </c>
      <c r="H291" s="2"/>
      <c r="I291" s="58">
        <v>1.1100000000000001E-3</v>
      </c>
      <c r="J291" s="63">
        <f t="shared" si="3"/>
        <v>77.278892249999998</v>
      </c>
      <c r="K291" s="25" t="s">
        <v>107</v>
      </c>
    </row>
    <row r="292" spans="2:11" x14ac:dyDescent="0.35">
      <c r="B292" s="27" t="s">
        <v>45</v>
      </c>
      <c r="C292" s="2" t="s">
        <v>63</v>
      </c>
      <c r="D292" s="2" t="s">
        <v>131</v>
      </c>
      <c r="E292" s="2" t="s">
        <v>69</v>
      </c>
      <c r="F292" s="2"/>
      <c r="G292" s="1" t="s">
        <v>66</v>
      </c>
      <c r="H292" s="2"/>
      <c r="I292" s="58">
        <v>2.5699999999999998E-3</v>
      </c>
      <c r="J292" s="63">
        <f>68.9-(1025*9.81*2011)/1000000</f>
        <v>48.678892250000004</v>
      </c>
      <c r="K292" s="25" t="s">
        <v>141</v>
      </c>
    </row>
    <row r="293" spans="2:11" x14ac:dyDescent="0.35">
      <c r="B293" s="27" t="s">
        <v>45</v>
      </c>
      <c r="C293" s="2" t="s">
        <v>63</v>
      </c>
      <c r="D293" s="2" t="s">
        <v>131</v>
      </c>
      <c r="E293" s="2" t="s">
        <v>65</v>
      </c>
      <c r="F293" s="2"/>
      <c r="G293" s="1" t="s">
        <v>66</v>
      </c>
      <c r="H293" s="2"/>
      <c r="I293" s="58">
        <v>2.31E-3</v>
      </c>
      <c r="J293" s="63">
        <f t="shared" ref="J293:J295" si="4">68.9-(1025*9.81*2011)/1000000</f>
        <v>48.678892250000004</v>
      </c>
      <c r="K293" s="25" t="s">
        <v>142</v>
      </c>
    </row>
    <row r="294" spans="2:11" x14ac:dyDescent="0.35">
      <c r="B294" s="27" t="s">
        <v>45</v>
      </c>
      <c r="C294" s="2" t="s">
        <v>63</v>
      </c>
      <c r="D294" s="2" t="s">
        <v>131</v>
      </c>
      <c r="E294" s="2" t="s">
        <v>69</v>
      </c>
      <c r="F294" s="2"/>
      <c r="G294" s="1" t="s">
        <v>71</v>
      </c>
      <c r="H294" s="2"/>
      <c r="I294" s="58">
        <v>1.0200000000000001E-3</v>
      </c>
      <c r="J294" s="63">
        <f t="shared" si="4"/>
        <v>48.678892250000004</v>
      </c>
      <c r="K294" s="25" t="s">
        <v>143</v>
      </c>
    </row>
    <row r="295" spans="2:11" x14ac:dyDescent="0.35">
      <c r="B295" s="27" t="s">
        <v>45</v>
      </c>
      <c r="C295" s="2" t="s">
        <v>63</v>
      </c>
      <c r="D295" s="2" t="s">
        <v>131</v>
      </c>
      <c r="E295" s="2" t="s">
        <v>65</v>
      </c>
      <c r="F295" s="2"/>
      <c r="G295" s="1" t="s">
        <v>71</v>
      </c>
      <c r="H295" s="2"/>
      <c r="I295" s="58">
        <v>9.2000000000000003E-4</v>
      </c>
      <c r="J295" s="63">
        <f t="shared" si="4"/>
        <v>48.678892250000004</v>
      </c>
      <c r="K295" s="25" t="s">
        <v>144</v>
      </c>
    </row>
    <row r="296" spans="2:11" x14ac:dyDescent="0.35">
      <c r="B296" s="27" t="s">
        <v>45</v>
      </c>
      <c r="C296" s="2" t="s">
        <v>63</v>
      </c>
      <c r="D296" s="2" t="s">
        <v>75</v>
      </c>
      <c r="E296" s="2" t="s">
        <v>69</v>
      </c>
      <c r="F296" s="2"/>
      <c r="G296" s="1" t="s">
        <v>66</v>
      </c>
      <c r="H296" s="2"/>
      <c r="I296" s="58">
        <v>1.97E-3</v>
      </c>
      <c r="J296" s="63">
        <f>59.7-(1025*9.81*2011)/1000000</f>
        <v>39.478892250000001</v>
      </c>
      <c r="K296" s="25" t="s">
        <v>108</v>
      </c>
    </row>
    <row r="297" spans="2:11" x14ac:dyDescent="0.35">
      <c r="B297" s="27" t="s">
        <v>45</v>
      </c>
      <c r="C297" s="2" t="s">
        <v>63</v>
      </c>
      <c r="D297" s="2" t="s">
        <v>75</v>
      </c>
      <c r="E297" s="2" t="s">
        <v>65</v>
      </c>
      <c r="F297" s="2"/>
      <c r="G297" s="1" t="s">
        <v>66</v>
      </c>
      <c r="H297" s="2"/>
      <c r="I297" s="58">
        <v>1.7700000000000001E-3</v>
      </c>
      <c r="J297" s="63">
        <f t="shared" ref="J297:J299" si="5">59.7-(1025*9.81*2011)/1000000</f>
        <v>39.478892250000001</v>
      </c>
      <c r="K297" s="25" t="s">
        <v>109</v>
      </c>
    </row>
    <row r="298" spans="2:11" x14ac:dyDescent="0.35">
      <c r="B298" s="27" t="s">
        <v>45</v>
      </c>
      <c r="C298" s="2" t="s">
        <v>63</v>
      </c>
      <c r="D298" s="2" t="s">
        <v>75</v>
      </c>
      <c r="E298" s="2" t="s">
        <v>69</v>
      </c>
      <c r="F298" s="2"/>
      <c r="G298" s="1" t="s">
        <v>71</v>
      </c>
      <c r="H298" s="2"/>
      <c r="I298" s="58">
        <v>9.7999999999999997E-4</v>
      </c>
      <c r="J298" s="63">
        <f t="shared" si="5"/>
        <v>39.478892250000001</v>
      </c>
      <c r="K298" s="25" t="s">
        <v>110</v>
      </c>
    </row>
    <row r="299" spans="2:11" x14ac:dyDescent="0.35">
      <c r="B299" s="27" t="s">
        <v>45</v>
      </c>
      <c r="C299" s="2" t="s">
        <v>63</v>
      </c>
      <c r="D299" s="2" t="s">
        <v>75</v>
      </c>
      <c r="E299" s="2" t="s">
        <v>65</v>
      </c>
      <c r="F299" s="2"/>
      <c r="G299" s="1" t="s">
        <v>71</v>
      </c>
      <c r="H299" s="2"/>
      <c r="I299" s="58">
        <v>8.8999999999999995E-4</v>
      </c>
      <c r="J299" s="63">
        <f t="shared" si="5"/>
        <v>39.478892250000001</v>
      </c>
      <c r="K299" s="25" t="s">
        <v>111</v>
      </c>
    </row>
    <row r="300" spans="2:11" ht="15.5" x14ac:dyDescent="0.35">
      <c r="B300" s="31"/>
      <c r="C300" s="14"/>
      <c r="D300" s="14"/>
      <c r="E300" s="26"/>
      <c r="F300" s="15"/>
      <c r="G300" s="15"/>
      <c r="H300" s="15"/>
      <c r="I300" s="73"/>
      <c r="J300" s="41"/>
      <c r="K300" s="18"/>
    </row>
    <row r="301" spans="2:11" x14ac:dyDescent="0.35">
      <c r="B301" s="27" t="s">
        <v>51</v>
      </c>
      <c r="C301" s="2" t="s">
        <v>63</v>
      </c>
      <c r="D301" s="2" t="s">
        <v>64</v>
      </c>
      <c r="E301" s="2" t="s">
        <v>69</v>
      </c>
      <c r="F301" s="2"/>
      <c r="G301" s="1" t="s">
        <v>66</v>
      </c>
      <c r="H301" s="2"/>
      <c r="I301" s="58">
        <v>2.32E-3</v>
      </c>
      <c r="J301" s="63">
        <f>97.54-(1025*9.81*2055)/1000000</f>
        <v>76.876461250000006</v>
      </c>
      <c r="K301" s="25" t="s">
        <v>119</v>
      </c>
    </row>
    <row r="302" spans="2:11" x14ac:dyDescent="0.35">
      <c r="B302" s="27" t="s">
        <v>51</v>
      </c>
      <c r="C302" s="2" t="s">
        <v>63</v>
      </c>
      <c r="D302" s="2" t="s">
        <v>64</v>
      </c>
      <c r="E302" s="2" t="s">
        <v>65</v>
      </c>
      <c r="F302" s="2"/>
      <c r="G302" s="1" t="s">
        <v>66</v>
      </c>
      <c r="H302" s="2"/>
      <c r="I302" s="58">
        <v>2.0999999999999999E-3</v>
      </c>
      <c r="J302" s="63">
        <f t="shared" ref="J302:J304" si="6">97.54-(1025*9.81*2055)/1000000</f>
        <v>76.876461250000006</v>
      </c>
      <c r="K302" s="25" t="s">
        <v>118</v>
      </c>
    </row>
    <row r="303" spans="2:11" x14ac:dyDescent="0.35">
      <c r="B303" s="27" t="s">
        <v>51</v>
      </c>
      <c r="C303" s="2" t="s">
        <v>63</v>
      </c>
      <c r="D303" s="2" t="s">
        <v>64</v>
      </c>
      <c r="E303" s="2" t="s">
        <v>69</v>
      </c>
      <c r="F303" s="2"/>
      <c r="G303" s="1" t="s">
        <v>71</v>
      </c>
      <c r="H303" s="2"/>
      <c r="I303" s="58">
        <v>1.39E-3</v>
      </c>
      <c r="J303" s="63">
        <f t="shared" si="6"/>
        <v>76.876461250000006</v>
      </c>
      <c r="K303" s="25" t="s">
        <v>120</v>
      </c>
    </row>
    <row r="304" spans="2:11" x14ac:dyDescent="0.35">
      <c r="B304" s="27" t="s">
        <v>51</v>
      </c>
      <c r="C304" s="2" t="s">
        <v>63</v>
      </c>
      <c r="D304" s="2" t="s">
        <v>64</v>
      </c>
      <c r="E304" s="2" t="s">
        <v>65</v>
      </c>
      <c r="F304" s="2"/>
      <c r="G304" s="1" t="s">
        <v>71</v>
      </c>
      <c r="H304" s="2"/>
      <c r="I304" s="58">
        <v>1.2700000000000001E-3</v>
      </c>
      <c r="J304" s="63">
        <f t="shared" si="6"/>
        <v>76.876461250000006</v>
      </c>
      <c r="K304" s="25" t="s">
        <v>121</v>
      </c>
    </row>
    <row r="305" spans="2:11" x14ac:dyDescent="0.35">
      <c r="B305" s="27" t="s">
        <v>51</v>
      </c>
      <c r="C305" s="2" t="s">
        <v>63</v>
      </c>
      <c r="D305" s="2" t="s">
        <v>131</v>
      </c>
      <c r="E305" s="2" t="s">
        <v>69</v>
      </c>
      <c r="F305" s="2"/>
      <c r="G305" s="1" t="s">
        <v>66</v>
      </c>
      <c r="H305" s="2"/>
      <c r="I305" s="58">
        <v>4.1099999999999999E-3</v>
      </c>
      <c r="J305" s="63">
        <f>66.9-(1025*9.81*2055)/1000000</f>
        <v>46.236461250000005</v>
      </c>
      <c r="K305" s="25" t="s">
        <v>145</v>
      </c>
    </row>
    <row r="306" spans="2:11" x14ac:dyDescent="0.35">
      <c r="B306" s="27" t="s">
        <v>51</v>
      </c>
      <c r="C306" s="2" t="s">
        <v>63</v>
      </c>
      <c r="D306" s="2" t="s">
        <v>131</v>
      </c>
      <c r="E306" s="2" t="s">
        <v>65</v>
      </c>
      <c r="F306" s="2"/>
      <c r="G306" s="1" t="s">
        <v>66</v>
      </c>
      <c r="H306" s="2"/>
      <c r="I306" s="58">
        <v>3.6900000000000001E-3</v>
      </c>
      <c r="J306" s="63">
        <f t="shared" ref="J306:J308" si="7">66.9-(1025*9.81*2055)/1000000</f>
        <v>46.236461250000005</v>
      </c>
      <c r="K306" s="25" t="s">
        <v>146</v>
      </c>
    </row>
    <row r="307" spans="2:11" x14ac:dyDescent="0.35">
      <c r="B307" s="27" t="s">
        <v>51</v>
      </c>
      <c r="C307" s="2" t="s">
        <v>63</v>
      </c>
      <c r="D307" s="2" t="s">
        <v>131</v>
      </c>
      <c r="E307" s="2" t="s">
        <v>69</v>
      </c>
      <c r="F307" s="2"/>
      <c r="G307" s="1" t="s">
        <v>71</v>
      </c>
      <c r="H307" s="2"/>
      <c r="I307" s="58">
        <v>1.2800000000000001E-3</v>
      </c>
      <c r="J307" s="63">
        <f t="shared" si="7"/>
        <v>46.236461250000005</v>
      </c>
      <c r="K307" s="25" t="s">
        <v>147</v>
      </c>
    </row>
    <row r="308" spans="2:11" x14ac:dyDescent="0.35">
      <c r="B308" s="27" t="s">
        <v>51</v>
      </c>
      <c r="C308" s="2" t="s">
        <v>63</v>
      </c>
      <c r="D308" s="2" t="s">
        <v>131</v>
      </c>
      <c r="E308" s="2" t="s">
        <v>65</v>
      </c>
      <c r="F308" s="2"/>
      <c r="G308" s="1" t="s">
        <v>71</v>
      </c>
      <c r="H308" s="2"/>
      <c r="I308" s="58">
        <v>1.16E-3</v>
      </c>
      <c r="J308" s="63">
        <f t="shared" si="7"/>
        <v>46.236461250000005</v>
      </c>
      <c r="K308" s="25" t="s">
        <v>148</v>
      </c>
    </row>
    <row r="309" spans="2:11" x14ac:dyDescent="0.35">
      <c r="B309" s="27" t="s">
        <v>51</v>
      </c>
      <c r="C309" s="2" t="s">
        <v>63</v>
      </c>
      <c r="D309" s="2" t="s">
        <v>75</v>
      </c>
      <c r="E309" s="2" t="s">
        <v>69</v>
      </c>
      <c r="F309" s="2"/>
      <c r="G309" s="1" t="s">
        <v>66</v>
      </c>
      <c r="H309" s="2"/>
      <c r="I309" s="58">
        <v>3.7599999999999999E-3</v>
      </c>
      <c r="J309" s="63">
        <f>54-(1025*9.81*2055)/1000000</f>
        <v>33.336461249999999</v>
      </c>
      <c r="K309" s="25" t="s">
        <v>122</v>
      </c>
    </row>
    <row r="310" spans="2:11" x14ac:dyDescent="0.35">
      <c r="B310" s="27" t="s">
        <v>51</v>
      </c>
      <c r="C310" s="2" t="s">
        <v>63</v>
      </c>
      <c r="D310" s="2" t="s">
        <v>75</v>
      </c>
      <c r="E310" s="2" t="s">
        <v>65</v>
      </c>
      <c r="F310" s="2"/>
      <c r="G310" s="1" t="s">
        <v>66</v>
      </c>
      <c r="H310" s="2"/>
      <c r="I310" s="58">
        <v>3.3800000000000002E-3</v>
      </c>
      <c r="J310" s="63">
        <f t="shared" ref="J310:J311" si="8">54-(1025*9.81*2055)/1000000</f>
        <v>33.336461249999999</v>
      </c>
      <c r="K310" s="25" t="s">
        <v>123</v>
      </c>
    </row>
    <row r="311" spans="2:11" x14ac:dyDescent="0.35">
      <c r="B311" s="27" t="s">
        <v>51</v>
      </c>
      <c r="C311" s="2" t="s">
        <v>63</v>
      </c>
      <c r="D311" s="2" t="s">
        <v>75</v>
      </c>
      <c r="E311" s="2" t="s">
        <v>69</v>
      </c>
      <c r="F311" s="2"/>
      <c r="G311" s="1" t="s">
        <v>71</v>
      </c>
      <c r="H311" s="2"/>
      <c r="I311" s="58">
        <v>1.24E-3</v>
      </c>
      <c r="J311" s="63">
        <f t="shared" si="8"/>
        <v>33.336461249999999</v>
      </c>
      <c r="K311" s="25" t="s">
        <v>124</v>
      </c>
    </row>
    <row r="312" spans="2:11" x14ac:dyDescent="0.35">
      <c r="B312" s="27" t="s">
        <v>51</v>
      </c>
      <c r="C312" s="2" t="s">
        <v>63</v>
      </c>
      <c r="D312" s="2" t="s">
        <v>75</v>
      </c>
      <c r="E312" s="2" t="s">
        <v>65</v>
      </c>
      <c r="F312" s="2"/>
      <c r="G312" s="1" t="s">
        <v>71</v>
      </c>
      <c r="H312" s="2"/>
      <c r="I312" s="58">
        <v>1.1199999999999999E-3</v>
      </c>
      <c r="J312" s="63">
        <f>54-(1025*9.81*2055)/1000000</f>
        <v>33.336461249999999</v>
      </c>
      <c r="K312" s="25" t="s">
        <v>125</v>
      </c>
    </row>
    <row r="313" spans="2:11" x14ac:dyDescent="0.35">
      <c r="B313" s="27"/>
    </row>
  </sheetData>
  <phoneticPr fontId="20" type="noConversion"/>
  <dataValidations count="1">
    <dataValidation type="list" allowBlank="1" showInputMessage="1" showErrorMessage="1" sqref="F304:F305 E2" xr:uid="{605C5875-E6FE-47A9-B806-E427D7C8BC23}">
      <formula1>#REF!</formula1>
    </dataValidation>
  </dataValidations>
  <pageMargins left="0.7" right="0.7" top="0.75" bottom="0.75" header="0.3" footer="0.3"/>
  <pageSetup paperSize="9" orientation="portrait" r:id="rId1"/>
  <headerFooter>
    <oddHeader>&amp;L&amp;"Calibri"&amp;10&amp;K0000FF TechnipFMC | Internal&amp;1#_x000D_</oddHead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59E12A9-60BB-47C7-A00F-FC8750833D60}">
          <x14:formula1>
            <xm:f>_validation!$D$2:$D$40</xm:f>
          </x14:formula1>
          <xm:sqref>J137:J202 J2:J135 J204:J269</xm:sqref>
        </x14:dataValidation>
        <x14:dataValidation type="list" allowBlank="1" showInputMessage="1" showErrorMessage="1" xr:uid="{B05CB4B1-E61A-4585-80DE-21886CEED2BC}">
          <x14:formula1>
            <xm:f>_validation!$A$2:$A$40</xm:f>
          </x14:formula1>
          <xm:sqref>C2:C312</xm:sqref>
        </x14:dataValidation>
        <x14:dataValidation type="list" allowBlank="1" showInputMessage="1" showErrorMessage="1" xr:uid="{9C1C72C6-9B4A-4172-8E0D-6F6152D8970E}">
          <x14:formula1>
            <xm:f>_validation!$B$2:$B$40</xm:f>
          </x14:formula1>
          <xm:sqref>D2:D312</xm:sqref>
        </x14:dataValidation>
        <x14:dataValidation type="list" allowBlank="1" showInputMessage="1" showErrorMessage="1" xr:uid="{CA229277-952A-42D9-BC3C-3315595D48D4}">
          <x14:formula1>
            <xm:f>_validation!$C$2:$C$40</xm:f>
          </x14:formula1>
          <xm:sqref>E3:E312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17A3-59E8-418F-92EF-645A1A444604}">
  <sheetPr>
    <tabColor rgb="FF00B050"/>
  </sheetPr>
  <dimension ref="A1:E37"/>
  <sheetViews>
    <sheetView topLeftCell="A14" workbookViewId="0"/>
  </sheetViews>
  <sheetFormatPr defaultColWidth="11.1796875" defaultRowHeight="15.5" x14ac:dyDescent="0.35"/>
  <cols>
    <col min="1" max="1" width="25.81640625" style="45" bestFit="1" customWidth="1"/>
    <col min="2" max="2" width="35.54296875" style="45" customWidth="1"/>
    <col min="3" max="3" width="110.26953125" style="45" bestFit="1" customWidth="1"/>
    <col min="4" max="4" width="8.7265625" style="51" bestFit="1" customWidth="1"/>
    <col min="5" max="5" width="37.26953125" style="45" customWidth="1"/>
    <col min="6" max="16384" width="11.1796875" style="45"/>
  </cols>
  <sheetData>
    <row r="1" spans="1:4" x14ac:dyDescent="0.35">
      <c r="A1" s="44" t="s">
        <v>149</v>
      </c>
      <c r="B1" s="44" t="s">
        <v>150</v>
      </c>
      <c r="C1" s="44" t="s">
        <v>151</v>
      </c>
      <c r="D1" s="44" t="s">
        <v>62</v>
      </c>
    </row>
    <row r="2" spans="1:4" x14ac:dyDescent="0.35">
      <c r="A2" s="46" t="s">
        <v>152</v>
      </c>
      <c r="B2" s="47" t="s">
        <v>14</v>
      </c>
      <c r="C2" s="52" t="s">
        <v>153</v>
      </c>
      <c r="D2" s="48" t="s">
        <v>154</v>
      </c>
    </row>
    <row r="3" spans="1:4" x14ac:dyDescent="0.35">
      <c r="A3" s="46" t="s">
        <v>152</v>
      </c>
      <c r="B3" s="47" t="s">
        <v>15</v>
      </c>
      <c r="C3" s="47" t="s">
        <v>155</v>
      </c>
      <c r="D3" s="48" t="s">
        <v>154</v>
      </c>
    </row>
    <row r="4" spans="1:4" x14ac:dyDescent="0.35">
      <c r="A4" s="46" t="s">
        <v>152</v>
      </c>
      <c r="B4" s="47" t="s">
        <v>3</v>
      </c>
      <c r="C4" s="49" t="s">
        <v>156</v>
      </c>
      <c r="D4" s="48" t="s">
        <v>154</v>
      </c>
    </row>
    <row r="5" spans="1:4" x14ac:dyDescent="0.35">
      <c r="A5" s="46" t="s">
        <v>152</v>
      </c>
      <c r="B5" s="46" t="s">
        <v>16</v>
      </c>
      <c r="C5" s="49" t="s">
        <v>157</v>
      </c>
      <c r="D5" s="48" t="s">
        <v>154</v>
      </c>
    </row>
    <row r="6" spans="1:4" x14ac:dyDescent="0.35">
      <c r="A6" s="46" t="s">
        <v>152</v>
      </c>
      <c r="B6" s="46" t="s">
        <v>158</v>
      </c>
      <c r="C6" s="49" t="s">
        <v>159</v>
      </c>
      <c r="D6" s="48" t="s">
        <v>154</v>
      </c>
    </row>
    <row r="7" spans="1:4" x14ac:dyDescent="0.35">
      <c r="A7" s="46" t="s">
        <v>152</v>
      </c>
      <c r="B7" s="47" t="s">
        <v>18</v>
      </c>
      <c r="C7" s="49" t="s">
        <v>160</v>
      </c>
      <c r="D7" s="48" t="s">
        <v>154</v>
      </c>
    </row>
    <row r="8" spans="1:4" x14ac:dyDescent="0.35">
      <c r="A8" s="46" t="s">
        <v>152</v>
      </c>
      <c r="B8" s="47" t="s">
        <v>19</v>
      </c>
      <c r="C8" s="47" t="s">
        <v>161</v>
      </c>
      <c r="D8" s="48" t="s">
        <v>154</v>
      </c>
    </row>
    <row r="9" spans="1:4" x14ac:dyDescent="0.35">
      <c r="A9" s="46" t="s">
        <v>152</v>
      </c>
      <c r="B9" s="47" t="s">
        <v>20</v>
      </c>
      <c r="C9" s="49" t="s">
        <v>162</v>
      </c>
      <c r="D9" s="48" t="s">
        <v>154</v>
      </c>
    </row>
    <row r="10" spans="1:4" x14ac:dyDescent="0.35">
      <c r="A10" s="46" t="s">
        <v>152</v>
      </c>
      <c r="B10" s="47" t="s">
        <v>21</v>
      </c>
      <c r="C10" s="47" t="s">
        <v>163</v>
      </c>
      <c r="D10" s="48" t="s">
        <v>154</v>
      </c>
    </row>
    <row r="11" spans="1:4" x14ac:dyDescent="0.35">
      <c r="A11" s="46" t="s">
        <v>164</v>
      </c>
      <c r="B11" s="47" t="s">
        <v>15</v>
      </c>
      <c r="C11" s="47" t="s">
        <v>155</v>
      </c>
      <c r="D11" s="48" t="s">
        <v>154</v>
      </c>
    </row>
    <row r="12" spans="1:4" ht="29" x14ac:dyDescent="0.35">
      <c r="A12" s="46" t="s">
        <v>164</v>
      </c>
      <c r="B12" s="47" t="s">
        <v>55</v>
      </c>
      <c r="C12" s="66" t="s">
        <v>165</v>
      </c>
      <c r="D12" s="48" t="s">
        <v>154</v>
      </c>
    </row>
    <row r="13" spans="1:4" ht="29" x14ac:dyDescent="0.35">
      <c r="A13" s="46" t="s">
        <v>164</v>
      </c>
      <c r="B13" s="47" t="s">
        <v>56</v>
      </c>
      <c r="C13" s="52" t="s">
        <v>166</v>
      </c>
      <c r="D13" s="48" t="s">
        <v>154</v>
      </c>
    </row>
    <row r="14" spans="1:4" ht="29" x14ac:dyDescent="0.35">
      <c r="A14" s="46" t="s">
        <v>164</v>
      </c>
      <c r="B14" s="47" t="s">
        <v>57</v>
      </c>
      <c r="C14" s="52" t="s">
        <v>167</v>
      </c>
      <c r="D14" s="48" t="s">
        <v>154</v>
      </c>
    </row>
    <row r="15" spans="1:4" x14ac:dyDescent="0.35">
      <c r="A15" s="46" t="s">
        <v>164</v>
      </c>
      <c r="B15" s="47" t="s">
        <v>58</v>
      </c>
      <c r="C15" s="46" t="s">
        <v>168</v>
      </c>
      <c r="D15" s="48" t="s">
        <v>169</v>
      </c>
    </row>
    <row r="16" spans="1:4" x14ac:dyDescent="0.35">
      <c r="A16" s="46" t="s">
        <v>164</v>
      </c>
      <c r="B16" s="47" t="s">
        <v>59</v>
      </c>
      <c r="C16" s="46" t="s">
        <v>170</v>
      </c>
      <c r="D16" s="48" t="s">
        <v>154</v>
      </c>
    </row>
    <row r="17" spans="1:5" x14ac:dyDescent="0.35">
      <c r="A17" s="46" t="s">
        <v>164</v>
      </c>
      <c r="B17" s="43" t="s">
        <v>60</v>
      </c>
      <c r="C17" s="43" t="s">
        <v>171</v>
      </c>
      <c r="D17" s="50" t="s">
        <v>172</v>
      </c>
    </row>
    <row r="18" spans="1:5" x14ac:dyDescent="0.35">
      <c r="A18" s="46" t="s">
        <v>164</v>
      </c>
      <c r="B18" s="25" t="s">
        <v>61</v>
      </c>
      <c r="C18" s="25" t="s">
        <v>173</v>
      </c>
      <c r="D18" s="48" t="s">
        <v>154</v>
      </c>
    </row>
    <row r="19" spans="1:5" ht="29" x14ac:dyDescent="0.35">
      <c r="A19" s="46" t="s">
        <v>164</v>
      </c>
      <c r="B19" s="46" t="s">
        <v>62</v>
      </c>
      <c r="C19" s="49" t="s">
        <v>174</v>
      </c>
      <c r="D19" s="48" t="s">
        <v>154</v>
      </c>
    </row>
    <row r="20" spans="1:5" x14ac:dyDescent="0.35">
      <c r="A20" s="46" t="s">
        <v>175</v>
      </c>
      <c r="B20" s="46" t="s">
        <v>3</v>
      </c>
      <c r="C20" s="49" t="s">
        <v>156</v>
      </c>
      <c r="D20" s="48" t="s">
        <v>154</v>
      </c>
    </row>
    <row r="21" spans="1:5" x14ac:dyDescent="0.35">
      <c r="A21" s="46" t="s">
        <v>175</v>
      </c>
      <c r="B21" s="47" t="s">
        <v>15</v>
      </c>
      <c r="C21" s="47" t="s">
        <v>155</v>
      </c>
      <c r="D21" s="48" t="s">
        <v>154</v>
      </c>
    </row>
    <row r="22" spans="1:5" x14ac:dyDescent="0.35">
      <c r="A22" s="46" t="s">
        <v>175</v>
      </c>
      <c r="B22" s="47" t="s">
        <v>55</v>
      </c>
      <c r="C22" s="47" t="s">
        <v>176</v>
      </c>
      <c r="D22" s="48" t="s">
        <v>154</v>
      </c>
    </row>
    <row r="23" spans="1:5" ht="29" x14ac:dyDescent="0.35">
      <c r="A23" s="46" t="s">
        <v>175</v>
      </c>
      <c r="B23" s="47" t="s">
        <v>56</v>
      </c>
      <c r="C23" s="52" t="s">
        <v>166</v>
      </c>
      <c r="D23" s="48" t="s">
        <v>154</v>
      </c>
    </row>
    <row r="24" spans="1:5" ht="29" x14ac:dyDescent="0.35">
      <c r="A24" s="46" t="s">
        <v>175</v>
      </c>
      <c r="B24" s="47" t="s">
        <v>57</v>
      </c>
      <c r="C24" s="52" t="s">
        <v>167</v>
      </c>
      <c r="D24" s="48" t="s">
        <v>154</v>
      </c>
    </row>
    <row r="25" spans="1:5" x14ac:dyDescent="0.35">
      <c r="A25" s="46" t="s">
        <v>175</v>
      </c>
      <c r="B25" s="47" t="s">
        <v>58</v>
      </c>
      <c r="C25" s="46" t="s">
        <v>168</v>
      </c>
      <c r="D25" s="48" t="s">
        <v>169</v>
      </c>
    </row>
    <row r="26" spans="1:5" x14ac:dyDescent="0.35">
      <c r="A26" s="46" t="s">
        <v>175</v>
      </c>
      <c r="B26" s="47" t="s">
        <v>59</v>
      </c>
      <c r="C26" s="46" t="s">
        <v>170</v>
      </c>
      <c r="D26" s="48" t="s">
        <v>154</v>
      </c>
    </row>
    <row r="27" spans="1:5" x14ac:dyDescent="0.35">
      <c r="A27" s="46" t="s">
        <v>175</v>
      </c>
      <c r="B27" s="43" t="s">
        <v>128</v>
      </c>
      <c r="C27" s="43" t="s">
        <v>177</v>
      </c>
      <c r="D27" s="50" t="s">
        <v>172</v>
      </c>
    </row>
    <row r="28" spans="1:5" x14ac:dyDescent="0.35">
      <c r="A28" s="46" t="s">
        <v>175</v>
      </c>
      <c r="B28" s="43" t="s">
        <v>129</v>
      </c>
      <c r="C28" s="43" t="s">
        <v>178</v>
      </c>
      <c r="D28" s="50" t="s">
        <v>179</v>
      </c>
    </row>
    <row r="29" spans="1:5" x14ac:dyDescent="0.35">
      <c r="A29" s="46" t="s">
        <v>175</v>
      </c>
      <c r="B29" s="46" t="s">
        <v>130</v>
      </c>
      <c r="C29" s="49" t="s">
        <v>180</v>
      </c>
      <c r="D29" s="50" t="s">
        <v>172</v>
      </c>
    </row>
    <row r="30" spans="1:5" x14ac:dyDescent="0.35">
      <c r="A30" s="46" t="s">
        <v>175</v>
      </c>
      <c r="B30" s="46" t="s">
        <v>3</v>
      </c>
      <c r="C30" s="49" t="s">
        <v>156</v>
      </c>
      <c r="D30" s="48" t="s">
        <v>154</v>
      </c>
    </row>
    <row r="31" spans="1:5" x14ac:dyDescent="0.35">
      <c r="A31" s="43"/>
      <c r="B31" s="43"/>
      <c r="C31" s="27"/>
      <c r="D31" s="43"/>
      <c r="E31" s="42"/>
    </row>
    <row r="32" spans="1:5" x14ac:dyDescent="0.35">
      <c r="A32" s="43"/>
      <c r="B32" s="43"/>
      <c r="C32" s="27"/>
      <c r="D32" s="43"/>
    </row>
    <row r="33" spans="1:5" x14ac:dyDescent="0.35">
      <c r="A33" s="43"/>
      <c r="B33" s="43"/>
      <c r="C33" s="27"/>
      <c r="D33" s="43"/>
      <c r="E33" s="42"/>
    </row>
    <row r="34" spans="1:5" x14ac:dyDescent="0.35">
      <c r="A34" s="43"/>
      <c r="B34" s="43"/>
      <c r="C34" s="27"/>
      <c r="D34" s="43"/>
    </row>
    <row r="35" spans="1:5" x14ac:dyDescent="0.35">
      <c r="A35" s="43"/>
      <c r="B35" s="43"/>
      <c r="C35" s="27"/>
      <c r="D35" s="43"/>
      <c r="E35" s="42"/>
    </row>
    <row r="36" spans="1:5" x14ac:dyDescent="0.35">
      <c r="A36" s="43"/>
      <c r="B36" s="43"/>
      <c r="C36" s="27"/>
      <c r="D36" s="43"/>
    </row>
    <row r="37" spans="1:5" x14ac:dyDescent="0.35">
      <c r="A37" s="25"/>
      <c r="B37" s="25"/>
      <c r="C37" s="43"/>
      <c r="D37" s="25"/>
      <c r="E37" s="25"/>
    </row>
  </sheetData>
  <pageMargins left="0.7" right="0.7" top="0.75" bottom="0.75" header="0.3" footer="0.3"/>
  <pageSetup paperSize="9" orientation="portrait" r:id="rId1"/>
  <headerFooter>
    <oddHeader>&amp;L&amp;"Calibri"&amp;10&amp;K0000FF TechnipFMC | Internal&amp;1#_x000D_</oddHead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28B6-E4B9-42C9-B374-72F651EA70E7}">
  <sheetPr>
    <tabColor rgb="FF00B050"/>
  </sheetPr>
  <dimension ref="A1:D22"/>
  <sheetViews>
    <sheetView zoomScale="85" zoomScaleNormal="85" workbookViewId="0">
      <selection activeCell="B22" sqref="B22"/>
    </sheetView>
  </sheetViews>
  <sheetFormatPr defaultColWidth="9.1796875" defaultRowHeight="14.5" x14ac:dyDescent="0.35"/>
  <cols>
    <col min="1" max="1" width="20.1796875" style="13" bestFit="1" customWidth="1"/>
    <col min="2" max="2" width="25.54296875" style="13" customWidth="1"/>
    <col min="3" max="3" width="20.81640625" style="13" bestFit="1" customWidth="1"/>
    <col min="4" max="4" width="20" style="13" customWidth="1"/>
    <col min="5" max="16384" width="9.1796875" style="13"/>
  </cols>
  <sheetData>
    <row r="1" spans="1:4" x14ac:dyDescent="0.35">
      <c r="A1" s="53" t="s">
        <v>181</v>
      </c>
      <c r="B1" s="53" t="s">
        <v>56</v>
      </c>
      <c r="C1" s="53" t="s">
        <v>57</v>
      </c>
      <c r="D1" s="53" t="s">
        <v>62</v>
      </c>
    </row>
    <row r="2" spans="1:4" x14ac:dyDescent="0.35">
      <c r="A2" s="54" t="s">
        <v>63</v>
      </c>
      <c r="B2" s="54" t="s">
        <v>64</v>
      </c>
      <c r="C2" s="2" t="s">
        <v>69</v>
      </c>
      <c r="D2" s="2" t="s">
        <v>114</v>
      </c>
    </row>
    <row r="3" spans="1:4" x14ac:dyDescent="0.35">
      <c r="A3" s="54" t="s">
        <v>112</v>
      </c>
      <c r="B3" s="54" t="s">
        <v>182</v>
      </c>
      <c r="C3" s="2" t="s">
        <v>116</v>
      </c>
      <c r="D3" s="2" t="s">
        <v>67</v>
      </c>
    </row>
    <row r="4" spans="1:4" x14ac:dyDescent="0.35">
      <c r="A4" s="54"/>
      <c r="B4" s="54" t="s">
        <v>183</v>
      </c>
      <c r="C4" s="2" t="s">
        <v>65</v>
      </c>
      <c r="D4" s="2"/>
    </row>
    <row r="5" spans="1:4" x14ac:dyDescent="0.35">
      <c r="A5" s="54"/>
      <c r="B5" s="54" t="s">
        <v>184</v>
      </c>
      <c r="C5" s="54" t="s">
        <v>185</v>
      </c>
      <c r="D5" s="54"/>
    </row>
    <row r="6" spans="1:4" x14ac:dyDescent="0.35">
      <c r="A6" s="2"/>
      <c r="B6" s="2" t="s">
        <v>186</v>
      </c>
      <c r="C6" s="2"/>
      <c r="D6" s="2"/>
    </row>
    <row r="7" spans="1:4" x14ac:dyDescent="0.35">
      <c r="A7" s="2"/>
      <c r="B7" s="2" t="s">
        <v>187</v>
      </c>
      <c r="C7" s="54"/>
      <c r="D7" s="54"/>
    </row>
    <row r="8" spans="1:4" x14ac:dyDescent="0.35">
      <c r="A8" s="2"/>
      <c r="B8" s="2" t="s">
        <v>188</v>
      </c>
      <c r="C8" s="54"/>
      <c r="D8" s="54"/>
    </row>
    <row r="9" spans="1:4" x14ac:dyDescent="0.35">
      <c r="A9" s="2"/>
      <c r="B9" s="2" t="s">
        <v>189</v>
      </c>
      <c r="C9" s="54"/>
      <c r="D9" s="54"/>
    </row>
    <row r="10" spans="1:4" x14ac:dyDescent="0.35">
      <c r="A10" s="2"/>
      <c r="B10" s="2" t="s">
        <v>190</v>
      </c>
      <c r="C10" s="2"/>
      <c r="D10" s="2"/>
    </row>
    <row r="11" spans="1:4" x14ac:dyDescent="0.35">
      <c r="A11" s="2"/>
      <c r="B11" s="2" t="s">
        <v>75</v>
      </c>
      <c r="C11" s="2"/>
      <c r="D11" s="2"/>
    </row>
    <row r="12" spans="1:4" x14ac:dyDescent="0.35">
      <c r="A12" s="2"/>
      <c r="B12" s="2" t="s">
        <v>85</v>
      </c>
      <c r="C12" s="54"/>
      <c r="D12" s="2"/>
    </row>
    <row r="13" spans="1:4" x14ac:dyDescent="0.35">
      <c r="A13" s="2"/>
      <c r="B13" s="2" t="s">
        <v>113</v>
      </c>
      <c r="C13" s="2"/>
      <c r="D13" s="2"/>
    </row>
    <row r="14" spans="1:4" x14ac:dyDescent="0.35">
      <c r="A14" s="2"/>
      <c r="B14" s="2" t="s">
        <v>80</v>
      </c>
      <c r="C14" s="54"/>
      <c r="D14" s="2"/>
    </row>
    <row r="15" spans="1:4" x14ac:dyDescent="0.35">
      <c r="A15" s="2"/>
      <c r="B15" s="2" t="s">
        <v>131</v>
      </c>
      <c r="C15" s="2"/>
      <c r="D15" s="2"/>
    </row>
    <row r="16" spans="1:4" x14ac:dyDescent="0.35">
      <c r="A16" s="2"/>
      <c r="B16" s="2" t="s">
        <v>89</v>
      </c>
      <c r="C16" s="2"/>
      <c r="D16" s="2"/>
    </row>
    <row r="17" spans="1:4" x14ac:dyDescent="0.35">
      <c r="A17" s="2"/>
      <c r="B17" s="2" t="s">
        <v>91</v>
      </c>
      <c r="C17" s="2"/>
      <c r="D17" s="2"/>
    </row>
    <row r="18" spans="1:4" x14ac:dyDescent="0.35">
      <c r="A18" s="2"/>
      <c r="B18" s="2" t="s">
        <v>90</v>
      </c>
      <c r="C18" s="2"/>
      <c r="D18" s="2"/>
    </row>
    <row r="19" spans="1:4" x14ac:dyDescent="0.35">
      <c r="A19" s="2"/>
      <c r="B19" s="2" t="s">
        <v>86</v>
      </c>
      <c r="C19" s="2"/>
      <c r="D19" s="2"/>
    </row>
    <row r="20" spans="1:4" x14ac:dyDescent="0.35">
      <c r="A20" s="2"/>
      <c r="B20" s="2" t="s">
        <v>88</v>
      </c>
      <c r="C20" s="2"/>
      <c r="D20" s="2"/>
    </row>
    <row r="21" spans="1:4" x14ac:dyDescent="0.35">
      <c r="A21" s="2"/>
      <c r="B21" s="2" t="s">
        <v>87</v>
      </c>
      <c r="C21" s="2"/>
      <c r="D21" s="2"/>
    </row>
    <row r="22" spans="1:4" x14ac:dyDescent="0.35">
      <c r="A22" s="2"/>
      <c r="B22" s="2"/>
      <c r="C22" s="2"/>
      <c r="D2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2B571949-F554-4C9D-88E0-55997B0CE1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E736CC-76D2-4898-BACF-BEE321D12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0d1ab-9a11-4f16-aad6-91e816d106bd"/>
    <ds:schemaRef ds:uri="106c3a68-2aa9-4ad6-bcc6-97631f62a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F10590-E093-4E37-BE8C-6E6890E22F03}">
  <ds:schemaRefs>
    <ds:schemaRef ds:uri="http://schemas.microsoft.com/office/2006/metadata/properties"/>
    <ds:schemaRef ds:uri="http://schemas.microsoft.com/office/infopath/2007/PartnerControls"/>
    <ds:schemaRef ds:uri="7270d1ab-9a11-4f16-aad6-91e816d106bd"/>
    <ds:schemaRef ds:uri="106c3a68-2aa9-4ad6-bcc6-97631f62a4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_frontsheet</vt:lpstr>
      <vt:lpstr>flowline_operation_master</vt:lpstr>
      <vt:lpstr>fatigue_histogram</vt:lpstr>
      <vt:lpstr>fracture_load</vt:lpstr>
      <vt:lpstr>_param_info</vt:lpstr>
      <vt:lpstr>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Aurelien PEPIN</dc:creator>
  <cp:keywords/>
  <dc:description/>
  <cp:lastModifiedBy>Wei Qiao</cp:lastModifiedBy>
  <cp:revision/>
  <dcterms:created xsi:type="dcterms:W3CDTF">2024-08-30T10:07:13Z</dcterms:created>
  <dcterms:modified xsi:type="dcterms:W3CDTF">2026-08-21T19:18:53Z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